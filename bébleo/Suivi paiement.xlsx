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UAALLOUCHA\Desktop\"/>
    </mc:Choice>
  </mc:AlternateContent>
  <xr:revisionPtr revIDLastSave="0" documentId="13_ncr:1_{A8CB3076-0CFB-4F2B-92E3-FE57A49BDAC2}" xr6:coauthVersionLast="47" xr6:coauthVersionMax="47" xr10:uidLastSave="{00000000-0000-0000-0000-000000000000}"/>
  <bookViews>
    <workbookView xWindow="-110" yWindow="-110" windowWidth="19420" windowHeight="11500" activeTab="1" xr2:uid="{41252C68-C1A7-4886-89C3-0DC2D40CD2C6}"/>
  </bookViews>
  <sheets>
    <sheet name="suivi paiement" sheetId="1" r:id="rId1"/>
    <sheet name="suivi formations continues" sheetId="2" r:id="rId2"/>
  </sheets>
  <definedNames>
    <definedName name="_xlnm._FilterDatabase" localSheetId="0" hidden="1">'suivi paiement'!$A$1:$X$1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9" i="1" l="1"/>
  <c r="J109" i="1"/>
  <c r="J108" i="1"/>
  <c r="L108" i="1" s="1"/>
  <c r="J107" i="1"/>
  <c r="L107" i="1" s="1"/>
  <c r="J106" i="1"/>
  <c r="L106" i="1" s="1"/>
  <c r="J105" i="1"/>
  <c r="L105" i="1" s="1"/>
  <c r="J104" i="1"/>
  <c r="L104" i="1" s="1"/>
  <c r="J103" i="1"/>
  <c r="L103" i="1" s="1"/>
  <c r="P102" i="1"/>
  <c r="K101" i="1"/>
  <c r="J101" i="1"/>
  <c r="K100" i="1"/>
  <c r="J100" i="1"/>
  <c r="L100" i="1" s="1"/>
  <c r="K99" i="1"/>
  <c r="L99" i="1" s="1"/>
  <c r="J99" i="1"/>
  <c r="K98" i="1"/>
  <c r="J98" i="1"/>
  <c r="K97" i="1"/>
  <c r="J97" i="1"/>
  <c r="L97" i="1" s="1"/>
  <c r="K96" i="1"/>
  <c r="J96" i="1"/>
  <c r="L96" i="1" s="1"/>
  <c r="K95" i="1"/>
  <c r="J95" i="1"/>
  <c r="M94" i="1"/>
  <c r="J94" i="1" s="1"/>
  <c r="K94" i="1"/>
  <c r="W93" i="1"/>
  <c r="V93" i="1"/>
  <c r="U93" i="1"/>
  <c r="T93" i="1"/>
  <c r="S93" i="1"/>
  <c r="R93" i="1"/>
  <c r="Q93" i="1"/>
  <c r="P93" i="1"/>
  <c r="W92" i="1"/>
  <c r="V92" i="1"/>
  <c r="U92" i="1"/>
  <c r="T92" i="1"/>
  <c r="S92" i="1"/>
  <c r="R92" i="1"/>
  <c r="Q92" i="1"/>
  <c r="P92" i="1"/>
  <c r="K92" i="1" s="1"/>
  <c r="K91" i="1"/>
  <c r="J91" i="1"/>
  <c r="W90" i="1"/>
  <c r="V90" i="1"/>
  <c r="U90" i="1"/>
  <c r="T90" i="1"/>
  <c r="S90" i="1"/>
  <c r="R90" i="1"/>
  <c r="Q90" i="1"/>
  <c r="P90" i="1"/>
  <c r="W89" i="1"/>
  <c r="V89" i="1"/>
  <c r="T89" i="1"/>
  <c r="S89" i="1"/>
  <c r="R89" i="1"/>
  <c r="Q89" i="1"/>
  <c r="P89" i="1"/>
  <c r="M88" i="1"/>
  <c r="J88" i="1" s="1"/>
  <c r="K88" i="1"/>
  <c r="K87" i="1"/>
  <c r="J87" i="1"/>
  <c r="L87" i="1" s="1"/>
  <c r="X86" i="1"/>
  <c r="W86" i="1"/>
  <c r="V86" i="1"/>
  <c r="U86" i="1"/>
  <c r="T86" i="1"/>
  <c r="S86" i="1"/>
  <c r="R86" i="1"/>
  <c r="K85" i="1"/>
  <c r="J85" i="1"/>
  <c r="X84" i="1"/>
  <c r="S84" i="1"/>
  <c r="K84" i="1"/>
  <c r="X83" i="1"/>
  <c r="W83" i="1"/>
  <c r="V83" i="1"/>
  <c r="U83" i="1"/>
  <c r="T83" i="1"/>
  <c r="S83" i="1"/>
  <c r="R83" i="1"/>
  <c r="K82" i="1"/>
  <c r="J82" i="1"/>
  <c r="L82" i="1" s="1"/>
  <c r="X81" i="1"/>
  <c r="J81" i="1" s="1"/>
  <c r="W81" i="1"/>
  <c r="V81" i="1"/>
  <c r="S81" i="1"/>
  <c r="R81" i="1"/>
  <c r="Q81" i="1"/>
  <c r="K81" i="1" s="1"/>
  <c r="M80" i="1"/>
  <c r="K80" i="1"/>
  <c r="J80" i="1"/>
  <c r="W79" i="1"/>
  <c r="V79" i="1"/>
  <c r="U79" i="1"/>
  <c r="T79" i="1"/>
  <c r="S79" i="1"/>
  <c r="R79" i="1"/>
  <c r="Q79" i="1"/>
  <c r="P79" i="1"/>
  <c r="X78" i="1"/>
  <c r="W78" i="1"/>
  <c r="V78" i="1"/>
  <c r="U78" i="1"/>
  <c r="T78" i="1"/>
  <c r="S78" i="1"/>
  <c r="R78" i="1"/>
  <c r="Q78" i="1"/>
  <c r="P78" i="1"/>
  <c r="J78" i="1" s="1"/>
  <c r="K77" i="1"/>
  <c r="J77" i="1"/>
  <c r="M76" i="1"/>
  <c r="K76" i="1" s="1"/>
  <c r="K75" i="1"/>
  <c r="J75" i="1"/>
  <c r="W74" i="1"/>
  <c r="V74" i="1"/>
  <c r="U74" i="1"/>
  <c r="T74" i="1"/>
  <c r="S74" i="1"/>
  <c r="R74" i="1"/>
  <c r="Q74" i="1"/>
  <c r="P74" i="1"/>
  <c r="K74" i="1"/>
  <c r="J74" i="1"/>
  <c r="L74" i="1" s="1"/>
  <c r="M73" i="1"/>
  <c r="K73" i="1" s="1"/>
  <c r="K72" i="1"/>
  <c r="J72" i="1"/>
  <c r="X71" i="1"/>
  <c r="T71" i="1"/>
  <c r="S71" i="1"/>
  <c r="R71" i="1"/>
  <c r="K71" i="1"/>
  <c r="X70" i="1"/>
  <c r="S70" i="1"/>
  <c r="R70" i="1"/>
  <c r="Q70" i="1"/>
  <c r="P70" i="1"/>
  <c r="T69" i="1"/>
  <c r="K69" i="1" s="1"/>
  <c r="K68" i="1"/>
  <c r="J68" i="1"/>
  <c r="X67" i="1"/>
  <c r="W67" i="1"/>
  <c r="V67" i="1"/>
  <c r="U67" i="1"/>
  <c r="T67" i="1"/>
  <c r="S67" i="1"/>
  <c r="R67" i="1"/>
  <c r="Q67" i="1"/>
  <c r="P67" i="1"/>
  <c r="X66" i="1"/>
  <c r="W66" i="1"/>
  <c r="V66" i="1"/>
  <c r="U66" i="1"/>
  <c r="T66" i="1"/>
  <c r="S66" i="1"/>
  <c r="K65" i="1"/>
  <c r="J65" i="1"/>
  <c r="K64" i="1"/>
  <c r="J64" i="1"/>
  <c r="L64" i="1" s="1"/>
  <c r="K63" i="1"/>
  <c r="J63" i="1"/>
  <c r="L63" i="1" s="1"/>
  <c r="K62" i="1"/>
  <c r="J62" i="1"/>
  <c r="L62" i="1" s="1"/>
  <c r="M61" i="1"/>
  <c r="J61" i="1" s="1"/>
  <c r="K60" i="1"/>
  <c r="J60" i="1"/>
  <c r="K59" i="1"/>
  <c r="J59" i="1"/>
  <c r="K58" i="1"/>
  <c r="J58" i="1"/>
  <c r="K57" i="1"/>
  <c r="J57" i="1"/>
  <c r="L57" i="1" s="1"/>
  <c r="X56" i="1"/>
  <c r="W56" i="1"/>
  <c r="V56" i="1"/>
  <c r="U56" i="1"/>
  <c r="T56" i="1"/>
  <c r="S56" i="1"/>
  <c r="R56" i="1"/>
  <c r="Q56" i="1"/>
  <c r="J56" i="1" s="1"/>
  <c r="K55" i="1"/>
  <c r="J55" i="1"/>
  <c r="K54" i="1"/>
  <c r="J54" i="1"/>
  <c r="M53" i="1"/>
  <c r="J53" i="1" s="1"/>
  <c r="K52" i="1"/>
  <c r="J52" i="1"/>
  <c r="L52" i="1" s="1"/>
  <c r="M51" i="1"/>
  <c r="J51" i="1" s="1"/>
  <c r="X50" i="1"/>
  <c r="W50" i="1"/>
  <c r="V50" i="1"/>
  <c r="U50" i="1"/>
  <c r="T50" i="1"/>
  <c r="S50" i="1"/>
  <c r="R50" i="1"/>
  <c r="M49" i="1"/>
  <c r="M48" i="1"/>
  <c r="K48" i="1" s="1"/>
  <c r="W47" i="1"/>
  <c r="V47" i="1"/>
  <c r="U47" i="1"/>
  <c r="T47" i="1"/>
  <c r="S47" i="1"/>
  <c r="R47" i="1"/>
  <c r="Q47" i="1"/>
  <c r="P47" i="1"/>
  <c r="K46" i="1"/>
  <c r="J46" i="1"/>
  <c r="X45" i="1"/>
  <c r="W45" i="1"/>
  <c r="J45" i="1" s="1"/>
  <c r="V45" i="1"/>
  <c r="U45" i="1"/>
  <c r="T45" i="1"/>
  <c r="S45" i="1"/>
  <c r="R45" i="1"/>
  <c r="Q45" i="1"/>
  <c r="P45" i="1"/>
  <c r="K44" i="1"/>
  <c r="J44" i="1"/>
  <c r="K43" i="1"/>
  <c r="J43" i="1"/>
  <c r="K42" i="1"/>
  <c r="J42" i="1"/>
  <c r="W41" i="1"/>
  <c r="V41" i="1"/>
  <c r="U41" i="1"/>
  <c r="T41" i="1"/>
  <c r="S41" i="1"/>
  <c r="R41" i="1"/>
  <c r="Q41" i="1"/>
  <c r="P41" i="1"/>
  <c r="K40" i="1"/>
  <c r="J40" i="1"/>
  <c r="W39" i="1"/>
  <c r="V39" i="1"/>
  <c r="U39" i="1"/>
  <c r="T39" i="1"/>
  <c r="S39" i="1"/>
  <c r="R39" i="1"/>
  <c r="Q39" i="1"/>
  <c r="P39" i="1"/>
  <c r="K38" i="1"/>
  <c r="J38" i="1"/>
  <c r="M37" i="1"/>
  <c r="J37" i="1" s="1"/>
  <c r="K37" i="1"/>
  <c r="W36" i="1"/>
  <c r="V36" i="1"/>
  <c r="U36" i="1"/>
  <c r="T36" i="1"/>
  <c r="S36" i="1"/>
  <c r="R36" i="1"/>
  <c r="Q36" i="1"/>
  <c r="P36" i="1"/>
  <c r="K35" i="1"/>
  <c r="J35" i="1"/>
  <c r="W34" i="1"/>
  <c r="V34" i="1"/>
  <c r="U34" i="1"/>
  <c r="T34" i="1"/>
  <c r="S34" i="1"/>
  <c r="R34" i="1"/>
  <c r="Q34" i="1"/>
  <c r="P34" i="1"/>
  <c r="M33" i="1"/>
  <c r="J33" i="1" s="1"/>
  <c r="L33" i="1" s="1"/>
  <c r="K33" i="1"/>
  <c r="X32" i="1"/>
  <c r="W32" i="1"/>
  <c r="S32" i="1"/>
  <c r="R32" i="1"/>
  <c r="Q32" i="1"/>
  <c r="P32" i="1"/>
  <c r="W31" i="1"/>
  <c r="T31" i="1"/>
  <c r="S31" i="1"/>
  <c r="R31" i="1"/>
  <c r="Q31" i="1"/>
  <c r="P31" i="1"/>
  <c r="X30" i="1"/>
  <c r="W30" i="1"/>
  <c r="V30" i="1"/>
  <c r="U30" i="1"/>
  <c r="T30" i="1"/>
  <c r="S30" i="1"/>
  <c r="R30" i="1"/>
  <c r="Q30" i="1"/>
  <c r="P30" i="1"/>
  <c r="X29" i="1"/>
  <c r="W29" i="1"/>
  <c r="V29" i="1"/>
  <c r="U29" i="1"/>
  <c r="T29" i="1"/>
  <c r="S29" i="1"/>
  <c r="R29" i="1"/>
  <c r="Q29" i="1"/>
  <c r="P29" i="1"/>
  <c r="X28" i="1"/>
  <c r="W28" i="1"/>
  <c r="V28" i="1"/>
  <c r="U28" i="1"/>
  <c r="T28" i="1"/>
  <c r="S28" i="1"/>
  <c r="R28" i="1"/>
  <c r="Q28" i="1"/>
  <c r="P28" i="1"/>
  <c r="W27" i="1"/>
  <c r="V27" i="1"/>
  <c r="U27" i="1"/>
  <c r="T27" i="1"/>
  <c r="S27" i="1"/>
  <c r="R27" i="1"/>
  <c r="Q27" i="1"/>
  <c r="P27" i="1"/>
  <c r="S26" i="1"/>
  <c r="R26" i="1"/>
  <c r="P26" i="1"/>
  <c r="W25" i="1"/>
  <c r="V25" i="1"/>
  <c r="U25" i="1"/>
  <c r="T25" i="1"/>
  <c r="S25" i="1"/>
  <c r="R25" i="1"/>
  <c r="Q25" i="1"/>
  <c r="P25" i="1"/>
  <c r="S24" i="1"/>
  <c r="R24" i="1"/>
  <c r="P24" i="1"/>
  <c r="X23" i="1"/>
  <c r="W23" i="1"/>
  <c r="V23" i="1"/>
  <c r="U23" i="1"/>
  <c r="T23" i="1"/>
  <c r="S23" i="1"/>
  <c r="R23" i="1"/>
  <c r="Q23" i="1"/>
  <c r="P23" i="1"/>
  <c r="K22" i="1"/>
  <c r="J22" i="1"/>
  <c r="X21" i="1"/>
  <c r="W21" i="1"/>
  <c r="V21" i="1"/>
  <c r="U21" i="1"/>
  <c r="T21" i="1"/>
  <c r="S21" i="1"/>
  <c r="R21" i="1"/>
  <c r="Q21" i="1"/>
  <c r="P21" i="1"/>
  <c r="X20" i="1"/>
  <c r="W20" i="1"/>
  <c r="V20" i="1"/>
  <c r="S20" i="1"/>
  <c r="R20" i="1"/>
  <c r="Q20" i="1"/>
  <c r="P20" i="1"/>
  <c r="W19" i="1"/>
  <c r="V19" i="1"/>
  <c r="U19" i="1"/>
  <c r="T19" i="1"/>
  <c r="S19" i="1"/>
  <c r="R19" i="1"/>
  <c r="Q19" i="1"/>
  <c r="P19" i="1"/>
  <c r="P18" i="1"/>
  <c r="K18" i="1" s="1"/>
  <c r="W17" i="1"/>
  <c r="V17" i="1"/>
  <c r="U17" i="1"/>
  <c r="T17" i="1"/>
  <c r="S17" i="1"/>
  <c r="R17" i="1"/>
  <c r="Q17" i="1"/>
  <c r="P17" i="1"/>
  <c r="J17" i="1" s="1"/>
  <c r="W16" i="1"/>
  <c r="J16" i="1" s="1"/>
  <c r="K16" i="1"/>
  <c r="W15" i="1"/>
  <c r="V15" i="1"/>
  <c r="U15" i="1"/>
  <c r="T15" i="1"/>
  <c r="S15" i="1"/>
  <c r="R15" i="1"/>
  <c r="Q15" i="1"/>
  <c r="P15" i="1"/>
  <c r="W14" i="1"/>
  <c r="T14" i="1"/>
  <c r="S14" i="1"/>
  <c r="R14" i="1"/>
  <c r="Q14" i="1"/>
  <c r="P14" i="1"/>
  <c r="K14" i="1" s="1"/>
  <c r="W13" i="1"/>
  <c r="T13" i="1"/>
  <c r="S13" i="1"/>
  <c r="R13" i="1"/>
  <c r="Q13" i="1"/>
  <c r="P13" i="1"/>
  <c r="T12" i="1"/>
  <c r="S12" i="1"/>
  <c r="R12" i="1"/>
  <c r="Q12" i="1"/>
  <c r="P12" i="1"/>
  <c r="K12" i="1" s="1"/>
  <c r="W11" i="1"/>
  <c r="V11" i="1"/>
  <c r="U11" i="1"/>
  <c r="T11" i="1"/>
  <c r="S11" i="1"/>
  <c r="R11" i="1"/>
  <c r="Q11" i="1"/>
  <c r="P11" i="1"/>
  <c r="W10" i="1"/>
  <c r="V10" i="1"/>
  <c r="U10" i="1"/>
  <c r="T10" i="1"/>
  <c r="S10" i="1"/>
  <c r="R10" i="1"/>
  <c r="Q10" i="1"/>
  <c r="P10" i="1"/>
  <c r="W9" i="1"/>
  <c r="V9" i="1"/>
  <c r="U9" i="1"/>
  <c r="T9" i="1"/>
  <c r="S9" i="1"/>
  <c r="P9" i="1"/>
  <c r="K9" i="1" s="1"/>
  <c r="X8" i="1"/>
  <c r="S8" i="1"/>
  <c r="R8" i="1"/>
  <c r="Q8" i="1"/>
  <c r="P8" i="1"/>
  <c r="J8" i="1" s="1"/>
  <c r="T7" i="1"/>
  <c r="S7" i="1"/>
  <c r="P7" i="1"/>
  <c r="W6" i="1"/>
  <c r="V6" i="1"/>
  <c r="U6" i="1"/>
  <c r="T6" i="1"/>
  <c r="S6" i="1"/>
  <c r="R6" i="1"/>
  <c r="Q6" i="1"/>
  <c r="P6" i="1"/>
  <c r="W5" i="1"/>
  <c r="V5" i="1"/>
  <c r="U5" i="1"/>
  <c r="T5" i="1"/>
  <c r="S5" i="1"/>
  <c r="R5" i="1"/>
  <c r="Q5" i="1"/>
  <c r="P5" i="1"/>
  <c r="T4" i="1"/>
  <c r="S4" i="1"/>
  <c r="R4" i="1"/>
  <c r="Q4" i="1"/>
  <c r="P4" i="1"/>
  <c r="W3" i="1"/>
  <c r="V3" i="1"/>
  <c r="U3" i="1"/>
  <c r="T3" i="1"/>
  <c r="S3" i="1"/>
  <c r="R3" i="1"/>
  <c r="Q3" i="1"/>
  <c r="P3" i="1"/>
  <c r="W2" i="1"/>
  <c r="V2" i="1"/>
  <c r="U2" i="1"/>
  <c r="T2" i="1"/>
  <c r="S2" i="1"/>
  <c r="R2" i="1"/>
  <c r="Q2" i="1"/>
  <c r="P2" i="1"/>
  <c r="J3" i="1" l="1"/>
  <c r="L40" i="1"/>
  <c r="K27" i="1"/>
  <c r="K4" i="1"/>
  <c r="K13" i="1"/>
  <c r="J48" i="1"/>
  <c r="L48" i="1" s="1"/>
  <c r="K26" i="1"/>
  <c r="K56" i="1"/>
  <c r="K89" i="1"/>
  <c r="K45" i="1"/>
  <c r="J67" i="1"/>
  <c r="J92" i="1"/>
  <c r="L92" i="1" s="1"/>
  <c r="L35" i="1"/>
  <c r="K36" i="1"/>
  <c r="J41" i="1"/>
  <c r="K78" i="1"/>
  <c r="L78" i="1" s="1"/>
  <c r="J50" i="1"/>
  <c r="J9" i="1"/>
  <c r="L9" i="1" s="1"/>
  <c r="J14" i="1"/>
  <c r="L14" i="1" s="1"/>
  <c r="L43" i="1"/>
  <c r="L72" i="1"/>
  <c r="J84" i="1"/>
  <c r="L84" i="1" s="1"/>
  <c r="L88" i="1"/>
  <c r="K79" i="1"/>
  <c r="L44" i="1"/>
  <c r="L60" i="1"/>
  <c r="J66" i="1"/>
  <c r="J69" i="1"/>
  <c r="L69" i="1" s="1"/>
  <c r="J73" i="1"/>
  <c r="L73" i="1" s="1"/>
  <c r="J76" i="1"/>
  <c r="L76" i="1" s="1"/>
  <c r="L91" i="1"/>
  <c r="K41" i="1"/>
  <c r="L41" i="1" s="1"/>
  <c r="K67" i="1"/>
  <c r="J71" i="1"/>
  <c r="L71" i="1" s="1"/>
  <c r="J4" i="1"/>
  <c r="L4" i="1" s="1"/>
  <c r="L22" i="1"/>
  <c r="J26" i="1"/>
  <c r="L26" i="1" s="1"/>
  <c r="L46" i="1"/>
  <c r="K51" i="1"/>
  <c r="L51" i="1" s="1"/>
  <c r="K61" i="1"/>
  <c r="L61" i="1" s="1"/>
  <c r="J79" i="1"/>
  <c r="L79" i="1" s="1"/>
  <c r="L81" i="1"/>
  <c r="K20" i="1"/>
  <c r="K32" i="1"/>
  <c r="K8" i="1"/>
  <c r="L8" i="1" s="1"/>
  <c r="K86" i="1"/>
  <c r="L98" i="1"/>
  <c r="L109" i="1"/>
  <c r="L58" i="1"/>
  <c r="K66" i="1"/>
  <c r="J89" i="1"/>
  <c r="L89" i="1" s="1"/>
  <c r="L45" i="1"/>
  <c r="J27" i="1"/>
  <c r="L27" i="1" s="1"/>
  <c r="J36" i="1"/>
  <c r="K50" i="1"/>
  <c r="L50" i="1" s="1"/>
  <c r="J13" i="1"/>
  <c r="L38" i="1"/>
  <c r="L42" i="1"/>
  <c r="K53" i="1"/>
  <c r="L59" i="1"/>
  <c r="L75" i="1"/>
  <c r="L95" i="1"/>
  <c r="K17" i="1"/>
  <c r="J18" i="1"/>
  <c r="L18" i="1" s="1"/>
  <c r="J32" i="1"/>
  <c r="L54" i="1"/>
  <c r="L77" i="1"/>
  <c r="L80" i="1"/>
  <c r="L101" i="1"/>
  <c r="K5" i="1"/>
  <c r="L55" i="1"/>
  <c r="L65" i="1"/>
  <c r="K15" i="1"/>
  <c r="J15" i="1"/>
  <c r="L15" i="1" s="1"/>
  <c r="K83" i="1"/>
  <c r="J83" i="1"/>
  <c r="L83" i="1" s="1"/>
  <c r="L37" i="1"/>
  <c r="L56" i="1"/>
  <c r="K34" i="1"/>
  <c r="J34" i="1"/>
  <c r="L34" i="1" s="1"/>
  <c r="K47" i="1"/>
  <c r="J47" i="1"/>
  <c r="K93" i="1"/>
  <c r="J93" i="1"/>
  <c r="K2" i="1"/>
  <c r="K29" i="1"/>
  <c r="J29" i="1"/>
  <c r="L29" i="1" s="1"/>
  <c r="L68" i="1"/>
  <c r="K19" i="1"/>
  <c r="K90" i="1"/>
  <c r="J90" i="1"/>
  <c r="L90" i="1" s="1"/>
  <c r="K7" i="1"/>
  <c r="J7" i="1"/>
  <c r="L7" i="1" s="1"/>
  <c r="K24" i="1"/>
  <c r="J24" i="1"/>
  <c r="L24" i="1" s="1"/>
  <c r="K23" i="1"/>
  <c r="J23" i="1"/>
  <c r="K28" i="1"/>
  <c r="J28" i="1"/>
  <c r="L28" i="1" s="1"/>
  <c r="K6" i="1"/>
  <c r="J6" i="1"/>
  <c r="K11" i="1"/>
  <c r="J11" i="1"/>
  <c r="J21" i="1"/>
  <c r="K21" i="1"/>
  <c r="J2" i="1"/>
  <c r="K70" i="1"/>
  <c r="J70" i="1"/>
  <c r="L70" i="1" s="1"/>
  <c r="K31" i="1"/>
  <c r="J31" i="1"/>
  <c r="L31" i="1" s="1"/>
  <c r="K39" i="1"/>
  <c r="J39" i="1"/>
  <c r="K25" i="1"/>
  <c r="J25" i="1"/>
  <c r="L25" i="1" s="1"/>
  <c r="K49" i="1"/>
  <c r="J49" i="1"/>
  <c r="L49" i="1" s="1"/>
  <c r="L94" i="1"/>
  <c r="J5" i="1"/>
  <c r="L16" i="1"/>
  <c r="J20" i="1"/>
  <c r="K102" i="1"/>
  <c r="J102" i="1"/>
  <c r="L102" i="1" s="1"/>
  <c r="K10" i="1"/>
  <c r="J10" i="1"/>
  <c r="K30" i="1"/>
  <c r="J30" i="1"/>
  <c r="L30" i="1" s="1"/>
  <c r="L85" i="1"/>
  <c r="J86" i="1"/>
  <c r="L86" i="1" s="1"/>
  <c r="K3" i="1"/>
  <c r="J12" i="1"/>
  <c r="L12" i="1" s="1"/>
  <c r="J19" i="1"/>
  <c r="L36" i="1" l="1"/>
  <c r="L93" i="1"/>
  <c r="L13" i="1"/>
  <c r="L23" i="1"/>
  <c r="L5" i="1"/>
  <c r="L67" i="1"/>
  <c r="L20" i="1"/>
  <c r="L32" i="1"/>
  <c r="L17" i="1"/>
  <c r="L66" i="1"/>
  <c r="L53" i="1"/>
  <c r="L3" i="1"/>
  <c r="L10" i="1"/>
  <c r="L6" i="1"/>
  <c r="L2" i="1"/>
  <c r="L19" i="1"/>
  <c r="L21" i="1"/>
  <c r="L39" i="1"/>
  <c r="L11" i="1"/>
  <c r="L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BOUAALLOUCHA Omar</author>
  </authors>
  <commentList>
    <comment ref="W70" authorId="0" shapeId="0" xr:uid="{AA8BC69C-06BE-4423-9F91-07246E9C0365}">
      <text>
        <r>
          <rPr>
            <b/>
            <sz val="9"/>
            <color indexed="81"/>
            <rFont val="Tahoma"/>
            <charset val="1"/>
          </rPr>
          <t>BOUAALLOUCHA Omar:</t>
        </r>
        <r>
          <rPr>
            <sz val="9"/>
            <color indexed="81"/>
            <rFont val="Tahoma"/>
            <charset val="1"/>
          </rPr>
          <t xml:space="preserve">
3600.00: despensée du paiement des quatre mois sur demande de Houda (cousine) pour situation sociale passagère (perte d'emploi;  paiement à reprendre à partir de septembre;</t>
        </r>
      </text>
    </comment>
  </commentList>
</comments>
</file>

<file path=xl/sharedStrings.xml><?xml version="1.0" encoding="utf-8"?>
<sst xmlns="http://schemas.openxmlformats.org/spreadsheetml/2006/main" count="762" uniqueCount="440">
  <si>
    <t>P</t>
  </si>
  <si>
    <t>Filière</t>
  </si>
  <si>
    <t>Promo</t>
  </si>
  <si>
    <t>N° d'inscription</t>
  </si>
  <si>
    <t>Date d'inscription</t>
  </si>
  <si>
    <t>Commentaire</t>
  </si>
  <si>
    <t>Mensualité contractuelle</t>
  </si>
  <si>
    <t>Total payé</t>
  </si>
  <si>
    <t>Reste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</si>
  <si>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</si>
  <si>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</si>
  <si>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</si>
  <si>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</si>
  <si>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</si>
  <si>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</si>
  <si>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</si>
  <si>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</si>
  <si>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</si>
  <si>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</si>
  <si>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</si>
  <si>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Inf PV</t>
  </si>
  <si>
    <t>001/IP/2024</t>
  </si>
  <si>
    <t>002/IP/2024</t>
  </si>
  <si>
    <t>003/IP/2024</t>
  </si>
  <si>
    <t>paiement au mois Juillet</t>
  </si>
  <si>
    <t>004/IP/2024</t>
  </si>
  <si>
    <t>005/IP/2024</t>
  </si>
  <si>
    <t>006/IP/2024</t>
  </si>
  <si>
    <t>Inf Ax</t>
  </si>
  <si>
    <t>001/AX/2024</t>
  </si>
  <si>
    <t>008/IP/2024</t>
  </si>
  <si>
    <t>009/IP/2024</t>
  </si>
  <si>
    <t>010/IP/2024</t>
  </si>
  <si>
    <t>011/IP/2024</t>
  </si>
  <si>
    <t>012/IP/2024</t>
  </si>
  <si>
    <t>013/IP/2024</t>
  </si>
  <si>
    <t>014/IP/2024</t>
  </si>
  <si>
    <t>015/IP/2024</t>
  </si>
  <si>
    <t>016/IP/2024</t>
  </si>
  <si>
    <t>A</t>
  </si>
  <si>
    <t>#024/IP/2024</t>
  </si>
  <si>
    <t>abandonné</t>
  </si>
  <si>
    <t>017/IP/2024</t>
  </si>
  <si>
    <t>003/AX/2024</t>
  </si>
  <si>
    <t>absent</t>
  </si>
  <si>
    <t>004/AX/2024</t>
  </si>
  <si>
    <t>018/IP/2024</t>
  </si>
  <si>
    <t>005/AX/2024</t>
  </si>
  <si>
    <t>019/IP/2024</t>
  </si>
  <si>
    <t>020/IP/2024</t>
  </si>
  <si>
    <t>021/IP/2024</t>
  </si>
  <si>
    <t>023/IP/2024</t>
  </si>
  <si>
    <t>006/AX/2024</t>
  </si>
  <si>
    <t>007/AX/2024</t>
  </si>
  <si>
    <t>008/AX/2024</t>
  </si>
  <si>
    <t>022/IP/2024</t>
  </si>
  <si>
    <t>009/AX/2024</t>
  </si>
  <si>
    <t>AS</t>
  </si>
  <si>
    <t>010/AS/2025</t>
  </si>
  <si>
    <t>001/IP/2025</t>
  </si>
  <si>
    <t>#002/AS/2025</t>
  </si>
  <si>
    <t>002/IP/2025</t>
  </si>
  <si>
    <t>#004/IP/2025</t>
  </si>
  <si>
    <t>017/AS/2025</t>
  </si>
  <si>
    <t>018/IP/2025</t>
  </si>
  <si>
    <t>003/IP/2025</t>
  </si>
  <si>
    <t>005/IP/2025</t>
  </si>
  <si>
    <t>ALEMS</t>
  </si>
  <si>
    <t>022/AS/2025</t>
  </si>
  <si>
    <t>cas social ALEMS</t>
  </si>
  <si>
    <t>#013/AX/2025</t>
  </si>
  <si>
    <t>006/IP/2025</t>
  </si>
  <si>
    <t>001/AX/2025</t>
  </si>
  <si>
    <t>012/AS/2025</t>
  </si>
  <si>
    <t>problèmes</t>
  </si>
  <si>
    <t>007/IP/2025</t>
  </si>
  <si>
    <t>#009/AS/2025</t>
  </si>
  <si>
    <t>013/AS/2025</t>
  </si>
  <si>
    <t>002/AX/2025</t>
  </si>
  <si>
    <t>003/AS/2025</t>
  </si>
  <si>
    <t>008/IP/2025</t>
  </si>
  <si>
    <t>004/AS/2025</t>
  </si>
  <si>
    <t>028/IP/2025</t>
  </si>
  <si>
    <t>#003/AX/2025</t>
  </si>
  <si>
    <t>016/AX/2025</t>
  </si>
  <si>
    <t>023/AX/2025</t>
  </si>
  <si>
    <t>#011/AX/2025</t>
  </si>
  <si>
    <t>009/IP/2025</t>
  </si>
  <si>
    <t>027/IP/2025</t>
  </si>
  <si>
    <t>001/AS/2025</t>
  </si>
  <si>
    <t>#023/IP/2025</t>
  </si>
  <si>
    <t>#024/IP/2025</t>
  </si>
  <si>
    <t>#017/IP/2025</t>
  </si>
  <si>
    <t>015/AS/2025</t>
  </si>
  <si>
    <t>bac, lundi 29  va  payer</t>
  </si>
  <si>
    <t>015/AX/2025</t>
  </si>
  <si>
    <t>014/AX/2025</t>
  </si>
  <si>
    <t>022/IP/2025</t>
  </si>
  <si>
    <t>014/AS/2025</t>
  </si>
  <si>
    <t>005/AX/2025</t>
  </si>
  <si>
    <t>006/AX/2025</t>
  </si>
  <si>
    <t>010/AX/2025</t>
  </si>
  <si>
    <t>005/AS/2025</t>
  </si>
  <si>
    <t>010/IP/2025</t>
  </si>
  <si>
    <t>025/IP/2025</t>
  </si>
  <si>
    <t>006/AS/2025</t>
  </si>
  <si>
    <t>016/AS/2025</t>
  </si>
  <si>
    <t>012/AX/2025</t>
  </si>
  <si>
    <t>011/IP/2025</t>
  </si>
  <si>
    <t>007/AS/2025</t>
  </si>
  <si>
    <t>007/AX/2025</t>
  </si>
  <si>
    <t>lundi 29  va  payer</t>
  </si>
  <si>
    <t>026/IP/2025</t>
  </si>
  <si>
    <t>008/AX/2025</t>
  </si>
  <si>
    <t>009/AX/2025</t>
  </si>
  <si>
    <t>034/IP/2025</t>
  </si>
  <si>
    <t>004/AX/2025</t>
  </si>
  <si>
    <t>a</t>
  </si>
  <si>
    <t>020/IP/2025</t>
  </si>
  <si>
    <t>#008/AS/2025</t>
  </si>
  <si>
    <t>012/IP/2025</t>
  </si>
  <si>
    <t>013/IP/2025</t>
  </si>
  <si>
    <t>014/IP/2025</t>
  </si>
  <si>
    <t>015/IP/2025</t>
  </si>
  <si>
    <t>016/IP/2025</t>
  </si>
  <si>
    <t>#011/AS/2025</t>
  </si>
  <si>
    <t>021/IP/2025</t>
  </si>
  <si>
    <t>019/IP/2025</t>
  </si>
  <si>
    <t>#017/AX/2025</t>
  </si>
  <si>
    <t>018/AX/2025</t>
  </si>
  <si>
    <t>029/IP/2025</t>
  </si>
  <si>
    <t>018/AS/2025</t>
  </si>
  <si>
    <t>019/AX/2025</t>
  </si>
  <si>
    <t>020/AS/2025</t>
  </si>
  <si>
    <t>019/AS/2025</t>
  </si>
  <si>
    <t>DB</t>
  </si>
  <si>
    <t>021/AS/2025</t>
  </si>
  <si>
    <t>voir comptabilité DB</t>
  </si>
  <si>
    <t>030/IP/2025</t>
  </si>
  <si>
    <t>031/IP/2025</t>
  </si>
  <si>
    <t>032/IP/2025</t>
  </si>
  <si>
    <t>033/IP/2025</t>
  </si>
  <si>
    <t>#006/IP/2025</t>
  </si>
  <si>
    <t>Nom</t>
  </si>
  <si>
    <t>Prénom</t>
  </si>
  <si>
    <t>nom1</t>
  </si>
  <si>
    <t>nom9</t>
  </si>
  <si>
    <t>Prénom1</t>
  </si>
  <si>
    <t>nom2</t>
  </si>
  <si>
    <t>Prénom2</t>
  </si>
  <si>
    <t>nom3</t>
  </si>
  <si>
    <t>Prénom3</t>
  </si>
  <si>
    <t>nom4</t>
  </si>
  <si>
    <t>Prénom4</t>
  </si>
  <si>
    <t>nom5</t>
  </si>
  <si>
    <t>Prénom5</t>
  </si>
  <si>
    <t>nom6</t>
  </si>
  <si>
    <t>Prénom6</t>
  </si>
  <si>
    <t>nom7</t>
  </si>
  <si>
    <t>Prénom7</t>
  </si>
  <si>
    <t>nom8</t>
  </si>
  <si>
    <t>Prénom8</t>
  </si>
  <si>
    <t>Prénom9</t>
  </si>
  <si>
    <t>nom10</t>
  </si>
  <si>
    <t>Prénom10</t>
  </si>
  <si>
    <t>nom11</t>
  </si>
  <si>
    <t>Prénom11</t>
  </si>
  <si>
    <t>nom12</t>
  </si>
  <si>
    <t>Prénom12</t>
  </si>
  <si>
    <t>nom13</t>
  </si>
  <si>
    <t>Prénom13</t>
  </si>
  <si>
    <t>nom14</t>
  </si>
  <si>
    <t>Prénom14</t>
  </si>
  <si>
    <t>nom15</t>
  </si>
  <si>
    <t>Prénom15</t>
  </si>
  <si>
    <t>nom16</t>
  </si>
  <si>
    <t>Prénom16</t>
  </si>
  <si>
    <t>nom17</t>
  </si>
  <si>
    <t>Prénom17</t>
  </si>
  <si>
    <t>nom18</t>
  </si>
  <si>
    <t>Prénom18</t>
  </si>
  <si>
    <t>nom19</t>
  </si>
  <si>
    <t>Prénom19</t>
  </si>
  <si>
    <t>nom20</t>
  </si>
  <si>
    <t>Prénom20</t>
  </si>
  <si>
    <t>nom21</t>
  </si>
  <si>
    <t>Prénom21</t>
  </si>
  <si>
    <t>nom22</t>
  </si>
  <si>
    <t>Prénom22</t>
  </si>
  <si>
    <t>nom23</t>
  </si>
  <si>
    <t>Prénom23</t>
  </si>
  <si>
    <t>nom24</t>
  </si>
  <si>
    <t>Prénom24</t>
  </si>
  <si>
    <t>nom25</t>
  </si>
  <si>
    <t>Prénom25</t>
  </si>
  <si>
    <t>nom26</t>
  </si>
  <si>
    <t>Prénom26</t>
  </si>
  <si>
    <t>nom27</t>
  </si>
  <si>
    <t>Prénom27</t>
  </si>
  <si>
    <t>nom28</t>
  </si>
  <si>
    <t>Prénom28</t>
  </si>
  <si>
    <t>nom29</t>
  </si>
  <si>
    <t>Prénom29</t>
  </si>
  <si>
    <t>nom30</t>
  </si>
  <si>
    <t>Prénom30</t>
  </si>
  <si>
    <t>nom31</t>
  </si>
  <si>
    <t>Prénom31</t>
  </si>
  <si>
    <t>nom32</t>
  </si>
  <si>
    <t>Prénom32</t>
  </si>
  <si>
    <t>nom33</t>
  </si>
  <si>
    <t>Prénom33</t>
  </si>
  <si>
    <t>nom34</t>
  </si>
  <si>
    <t>Prénom34</t>
  </si>
  <si>
    <t>nom35</t>
  </si>
  <si>
    <t>Prénom35</t>
  </si>
  <si>
    <t>nom36</t>
  </si>
  <si>
    <t>Prénom36</t>
  </si>
  <si>
    <t>nom37</t>
  </si>
  <si>
    <t>Prénom37</t>
  </si>
  <si>
    <t>nom38</t>
  </si>
  <si>
    <t>Prénom38</t>
  </si>
  <si>
    <t>nom39</t>
  </si>
  <si>
    <t>Prénom39</t>
  </si>
  <si>
    <t>nom40</t>
  </si>
  <si>
    <t>Prénom40</t>
  </si>
  <si>
    <t>nom41</t>
  </si>
  <si>
    <t>Prénom41</t>
  </si>
  <si>
    <t>nom42</t>
  </si>
  <si>
    <t>Prénom42</t>
  </si>
  <si>
    <t>nom43</t>
  </si>
  <si>
    <t>Prénom43</t>
  </si>
  <si>
    <t>nom44</t>
  </si>
  <si>
    <t>Prénom44</t>
  </si>
  <si>
    <t>nom45</t>
  </si>
  <si>
    <t>Prénom45</t>
  </si>
  <si>
    <t>nom46</t>
  </si>
  <si>
    <t>Prénom46</t>
  </si>
  <si>
    <t>nom47</t>
  </si>
  <si>
    <t>Prénom47</t>
  </si>
  <si>
    <t>nom48</t>
  </si>
  <si>
    <t>Prénom48</t>
  </si>
  <si>
    <t>nom49</t>
  </si>
  <si>
    <t>Prénom49</t>
  </si>
  <si>
    <t>nom50</t>
  </si>
  <si>
    <t>Prénom50</t>
  </si>
  <si>
    <t>nom51</t>
  </si>
  <si>
    <t>Prénom51</t>
  </si>
  <si>
    <t>nom52</t>
  </si>
  <si>
    <t>Prénom52</t>
  </si>
  <si>
    <t>nom53</t>
  </si>
  <si>
    <t>Prénom53</t>
  </si>
  <si>
    <t>nom54</t>
  </si>
  <si>
    <t>Prénom54</t>
  </si>
  <si>
    <t>nom55</t>
  </si>
  <si>
    <t>Prénom55</t>
  </si>
  <si>
    <t>nom56</t>
  </si>
  <si>
    <t>Prénom56</t>
  </si>
  <si>
    <t>nom57</t>
  </si>
  <si>
    <t>Prénom57</t>
  </si>
  <si>
    <t>nom58</t>
  </si>
  <si>
    <t>Prénom58</t>
  </si>
  <si>
    <t>nom59</t>
  </si>
  <si>
    <t>Prénom59</t>
  </si>
  <si>
    <t>nom60</t>
  </si>
  <si>
    <t>Prénom60</t>
  </si>
  <si>
    <t>nom61</t>
  </si>
  <si>
    <t>Prénom61</t>
  </si>
  <si>
    <t>nom62</t>
  </si>
  <si>
    <t>Prénom62</t>
  </si>
  <si>
    <t>nom63</t>
  </si>
  <si>
    <t>Prénom63</t>
  </si>
  <si>
    <t>nom64</t>
  </si>
  <si>
    <t>Prénom64</t>
  </si>
  <si>
    <t>nom65</t>
  </si>
  <si>
    <t>Prénom65</t>
  </si>
  <si>
    <t>nom66</t>
  </si>
  <si>
    <t>Prénom66</t>
  </si>
  <si>
    <t>nom67</t>
  </si>
  <si>
    <t>Prénom67</t>
  </si>
  <si>
    <t>nom68</t>
  </si>
  <si>
    <t>Prénom68</t>
  </si>
  <si>
    <t>nom69</t>
  </si>
  <si>
    <t>Prénom69</t>
  </si>
  <si>
    <t>nom70</t>
  </si>
  <si>
    <t>Prénom70</t>
  </si>
  <si>
    <t>nom71</t>
  </si>
  <si>
    <t>Prénom71</t>
  </si>
  <si>
    <t>nom72</t>
  </si>
  <si>
    <t>Prénom72</t>
  </si>
  <si>
    <t>nom73</t>
  </si>
  <si>
    <t>Prénom73</t>
  </si>
  <si>
    <t>nom74</t>
  </si>
  <si>
    <t>Prénom74</t>
  </si>
  <si>
    <t>nom75</t>
  </si>
  <si>
    <t>Prénom75</t>
  </si>
  <si>
    <t>nom76</t>
  </si>
  <si>
    <t>Prénom76</t>
  </si>
  <si>
    <t>nom77</t>
  </si>
  <si>
    <t>Prénom77</t>
  </si>
  <si>
    <t>nom78</t>
  </si>
  <si>
    <t>Prénom78</t>
  </si>
  <si>
    <t>nom79</t>
  </si>
  <si>
    <t>Prénom79</t>
  </si>
  <si>
    <t>nom80</t>
  </si>
  <si>
    <t>Prénom80</t>
  </si>
  <si>
    <t>nom81</t>
  </si>
  <si>
    <t>Prénom81</t>
  </si>
  <si>
    <t>nom82</t>
  </si>
  <si>
    <t>Prénom82</t>
  </si>
  <si>
    <t>nom83</t>
  </si>
  <si>
    <t>Prénom83</t>
  </si>
  <si>
    <t>nom84</t>
  </si>
  <si>
    <t>Prénom84</t>
  </si>
  <si>
    <t>nom85</t>
  </si>
  <si>
    <t>Prénom85</t>
  </si>
  <si>
    <t>nom86</t>
  </si>
  <si>
    <t>Prénom86</t>
  </si>
  <si>
    <t>nom87</t>
  </si>
  <si>
    <t>Prénom87</t>
  </si>
  <si>
    <t>nom88</t>
  </si>
  <si>
    <t>Prénom88</t>
  </si>
  <si>
    <t>nom89</t>
  </si>
  <si>
    <t>Prénom89</t>
  </si>
  <si>
    <t>nom90</t>
  </si>
  <si>
    <t>Prénom90</t>
  </si>
  <si>
    <t>nom91</t>
  </si>
  <si>
    <t>Prénom91</t>
  </si>
  <si>
    <t>nom92</t>
  </si>
  <si>
    <t>Prénom92</t>
  </si>
  <si>
    <t>nom93</t>
  </si>
  <si>
    <t>Prénom93</t>
  </si>
  <si>
    <t>nom94</t>
  </si>
  <si>
    <t>Prénom94</t>
  </si>
  <si>
    <t>nom95</t>
  </si>
  <si>
    <t>Prénom95</t>
  </si>
  <si>
    <t>nom96</t>
  </si>
  <si>
    <t>Prénom96</t>
  </si>
  <si>
    <t>nom97</t>
  </si>
  <si>
    <t>Prénom97</t>
  </si>
  <si>
    <t>nom98</t>
  </si>
  <si>
    <t>Prénom98</t>
  </si>
  <si>
    <t>nom99</t>
  </si>
  <si>
    <t>Prénom99</t>
  </si>
  <si>
    <t>nom100</t>
  </si>
  <si>
    <t>Prénom100</t>
  </si>
  <si>
    <t>nom101</t>
  </si>
  <si>
    <t>Prénom101</t>
  </si>
  <si>
    <t>nom102</t>
  </si>
  <si>
    <t>Prénom102</t>
  </si>
  <si>
    <t>nom103</t>
  </si>
  <si>
    <t>Prénom103</t>
  </si>
  <si>
    <t>nom104</t>
  </si>
  <si>
    <t>Prénom104</t>
  </si>
  <si>
    <t>nom105</t>
  </si>
  <si>
    <t>Prénom105</t>
  </si>
  <si>
    <t>nom106</t>
  </si>
  <si>
    <t>Prénom106</t>
  </si>
  <si>
    <t>nom107</t>
  </si>
  <si>
    <t>Prénom107</t>
  </si>
  <si>
    <t>nom108</t>
  </si>
  <si>
    <t>Prénom108</t>
  </si>
  <si>
    <t>Budget Année</t>
  </si>
  <si>
    <t>Tableau de Suivi des Formation Continue-2025</t>
  </si>
  <si>
    <t>ID Formation</t>
  </si>
  <si>
    <t>Intitulé de la formation</t>
  </si>
  <si>
    <t>Modules de la Formation</t>
  </si>
  <si>
    <t>Responsable de formation</t>
  </si>
  <si>
    <t>Niveau d'accés</t>
  </si>
  <si>
    <t>Effectifs prévus</t>
  </si>
  <si>
    <t>Nombre de Formateurs</t>
  </si>
  <si>
    <t>Nom des Formateurs</t>
  </si>
  <si>
    <t>Durée</t>
  </si>
  <si>
    <t>Mode de Formation</t>
  </si>
  <si>
    <t>Mode de Tarification</t>
  </si>
  <si>
    <t>Tarif (MAD)</t>
  </si>
  <si>
    <t>Frais d'Inscription ( Intégrés/Séparés)</t>
  </si>
  <si>
    <t>Disponibilité Affiche</t>
  </si>
  <si>
    <t>Validation Affiche</t>
  </si>
  <si>
    <t>Communication Affiche</t>
  </si>
  <si>
    <t>Date de Lancement de la Com</t>
  </si>
  <si>
    <t>Date Prévue de Lancement</t>
  </si>
  <si>
    <t>Disponibilité Attestation</t>
  </si>
  <si>
    <t>Commentaires</t>
  </si>
  <si>
    <t>F001</t>
  </si>
  <si>
    <t>Responsable santé sécurité</t>
  </si>
  <si>
    <r>
      <t>M1 : Management SST</t>
    </r>
    <r>
      <rPr>
        <sz val="11"/>
        <color theme="1"/>
        <rFont val="Aptos Narrow"/>
        <family val="2"/>
        <scheme val="minor"/>
      </rPr>
      <t xml:space="preserve">
Eléments de culture selon l’approche DuPont
</t>
    </r>
    <r>
      <rPr>
        <b/>
        <sz val="11"/>
        <color theme="1"/>
        <rFont val="Aptos Narrow"/>
        <family val="2"/>
        <scheme val="minor"/>
      </rPr>
      <t>M2 : Maitrise des Opérations à   risque</t>
    </r>
    <r>
      <rPr>
        <sz val="11"/>
        <color theme="1"/>
        <rFont val="Aptos Narrow"/>
        <family val="2"/>
        <scheme val="minor"/>
      </rPr>
      <t xml:space="preserve">
Travail en hauteur
Travail en espace confiné
Consignation des énergies
Risque électrique
</t>
    </r>
    <r>
      <rPr>
        <b/>
        <sz val="11"/>
        <color theme="1"/>
        <rFont val="Aptos Narrow"/>
        <family val="2"/>
        <scheme val="minor"/>
      </rPr>
      <t>M3 : Règlementation SST</t>
    </r>
    <r>
      <rPr>
        <sz val="11"/>
        <color theme="1"/>
        <rFont val="Aptos Narrow"/>
        <family val="2"/>
        <scheme val="minor"/>
      </rPr>
      <t xml:space="preserve">
Sante au travail 
Sécurité au travail
Sécurité liée aux équipements
</t>
    </r>
    <r>
      <rPr>
        <b/>
        <sz val="11"/>
        <color theme="1"/>
        <rFont val="Aptos Narrow"/>
        <family val="2"/>
        <scheme val="minor"/>
      </rPr>
      <t>M4 : Outils et pratique SST</t>
    </r>
    <r>
      <rPr>
        <sz val="11"/>
        <color theme="1"/>
        <rFont val="Aptos Narrow"/>
        <family val="2"/>
        <scheme val="minor"/>
      </rPr>
      <t xml:space="preserve">
Analyse et maîtrise des risques
Audit SST
Enquête et Argumentation 
Outils de Remontée  SST</t>
    </r>
  </si>
  <si>
    <t>Mr.YASSINE</t>
  </si>
  <si>
    <t>Niveau Bac et plus (toutes filières confondues)</t>
  </si>
  <si>
    <t>Mr HOUSSINE</t>
  </si>
  <si>
    <t>3 Mois</t>
  </si>
  <si>
    <t>Présentiel</t>
  </si>
  <si>
    <t>Mensuel</t>
  </si>
  <si>
    <t>1400 MAD</t>
  </si>
  <si>
    <t>Intégrés</t>
  </si>
  <si>
    <t>En attente</t>
  </si>
  <si>
    <t>Facebook, Instagram, Google Ads (par société spécialisée), Flyers, Emailing</t>
  </si>
  <si>
    <t>Non définie</t>
  </si>
  <si>
    <t>À planifier</t>
  </si>
  <si>
    <t>F002</t>
  </si>
  <si>
    <t>Délégué médical</t>
  </si>
  <si>
    <t>Mr.TAHA</t>
  </si>
  <si>
    <t>Baccalauréat (toutes séries) ou diplôme Bac+2</t>
  </si>
  <si>
    <t>Mr KHALID / Mr TAHA</t>
  </si>
  <si>
    <t>6 Mois</t>
  </si>
  <si>
    <t>Hybride</t>
  </si>
  <si>
    <t>Paiement en 3 tranches</t>
  </si>
  <si>
    <t>8 000 MAD (40% tranche1, 30% tranche2, 30% tranche3 )</t>
  </si>
  <si>
    <t>Créée</t>
  </si>
  <si>
    <t>Validée</t>
  </si>
  <si>
    <t>Première communication lancée en mars par des non-spécialistes. Reprise de la communication par société spécialisée mi-avril.</t>
  </si>
  <si>
    <t>F003</t>
  </si>
  <si>
    <t>Paramedicale</t>
  </si>
  <si>
    <t>Mr.HOUSSINE</t>
  </si>
  <si>
    <t>Forfait total</t>
  </si>
  <si>
    <t>2500 MAD</t>
  </si>
  <si>
    <t>F004</t>
  </si>
  <si>
    <t>Réanimation de la chirurgie cardio-vasculaire (Adulte et Pédiatrique)</t>
  </si>
  <si>
    <t>étudiants(es) en formation des infirmiers(es), lauréats(es) et Infirmiers(es) fonctionnaire</t>
  </si>
  <si>
    <t>5 Séminaires</t>
  </si>
  <si>
    <t>Par Séminaire</t>
  </si>
  <si>
    <t>2000 MAD ( 400/ séminaire)</t>
  </si>
  <si>
    <t>F005</t>
  </si>
  <si>
    <t>Assistante en laboratoire d'analyse médicale</t>
  </si>
  <si>
    <t xml:space="preserve">Niveau bac, 9ᵉ année fondamentale, Bacheliers , Secrétaires médicales, </t>
  </si>
  <si>
    <t>800 MAD</t>
  </si>
  <si>
    <t>F006</t>
  </si>
  <si>
    <t>Premiers secours et soins de terrain en milieu sportif (infirmier(e) sportif)</t>
  </si>
  <si>
    <t>Étudiants et personnes en reconversion</t>
  </si>
  <si>
    <t>2 Mois</t>
  </si>
  <si>
    <t>1200 MAD</t>
  </si>
  <si>
    <t>F007</t>
  </si>
  <si>
    <t>Techniques d'évacuation d'urgence médicale et de préparation les accidentés</t>
  </si>
  <si>
    <t>Étudiants et personnes en formation</t>
  </si>
  <si>
    <t>F008</t>
  </si>
  <si>
    <t>Secrétariat médical</t>
  </si>
  <si>
    <t>Les bacheliers et niveau bac</t>
  </si>
  <si>
    <t>F009</t>
  </si>
  <si>
    <t>Assistant(e) pharmacien(ne)</t>
  </si>
  <si>
    <t>9ᵉ année fondamentale</t>
  </si>
  <si>
    <t>1000 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</si>
</sst>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Aptos Narrow"/>
      <family val="2"/>
      <scheme val="minor"/>
    </font>
    <font>
      <sz val="26"/>
      <color theme="1"/>
      <name val="Arial Black"/>
      <family val="2"/>
    </font>
    <font>
      <b/>
      <sz val="1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3DF36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CC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7" borderId="8" xfId="0" applyFill="1" applyBorder="1" applyAlignment="1">
      <alignment horizontal="left" vertical="center"/>
    </xf>
    <xf numFmtId="0" fontId="0" fillId="7" borderId="9" xfId="0" applyFill="1" applyBorder="1" applyAlignment="1">
      <alignment horizontal="center" vertical="center"/>
    </xf>
    <xf numFmtId="14" fontId="0" fillId="7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right" vertical="center"/>
    </xf>
    <xf numFmtId="2" fontId="0" fillId="2" borderId="10" xfId="0" applyNumberFormat="1" applyFill="1" applyBorder="1"/>
    <xf numFmtId="2" fontId="1" fillId="3" borderId="11" xfId="0" applyNumberFormat="1" applyFont="1" applyFill="1" applyBorder="1" applyAlignment="1">
      <alignment horizontal="right" vertical="center"/>
    </xf>
    <xf numFmtId="2" fontId="1" fillId="5" borderId="8" xfId="0" applyNumberFormat="1" applyFont="1" applyFill="1" applyBorder="1" applyAlignment="1">
      <alignment horizontal="right" vertical="center"/>
    </xf>
    <xf numFmtId="2" fontId="0" fillId="3" borderId="11" xfId="0" applyNumberFormat="1" applyFill="1" applyBorder="1" applyAlignment="1">
      <alignment horizontal="right" vertical="center"/>
    </xf>
    <xf numFmtId="2" fontId="0" fillId="3" borderId="12" xfId="0" applyNumberFormat="1" applyFill="1" applyBorder="1" applyAlignment="1">
      <alignment horizontal="right" vertical="center"/>
    </xf>
    <xf numFmtId="2" fontId="0" fillId="7" borderId="12" xfId="0" applyNumberFormat="1" applyFill="1" applyBorder="1" applyAlignment="1">
      <alignment horizontal="right" vertical="center"/>
    </xf>
    <xf numFmtId="2" fontId="0" fillId="8" borderId="12" xfId="0" applyNumberFormat="1" applyFill="1" applyBorder="1" applyAlignment="1">
      <alignment horizontal="right" vertical="center"/>
    </xf>
    <xf numFmtId="0" fontId="0" fillId="2" borderId="8" xfId="0" applyFill="1" applyBorder="1" applyAlignment="1">
      <alignment horizontal="left" vertical="center"/>
    </xf>
    <xf numFmtId="2" fontId="0" fillId="9" borderId="12" xfId="0" applyNumberFormat="1" applyFill="1" applyBorder="1" applyAlignment="1">
      <alignment horizontal="right" vertical="center"/>
    </xf>
    <xf numFmtId="2" fontId="0" fillId="10" borderId="12" xfId="0" applyNumberFormat="1" applyFill="1" applyBorder="1" applyAlignment="1">
      <alignment horizontal="right" vertical="center"/>
    </xf>
    <xf numFmtId="0" fontId="0" fillId="7" borderId="8" xfId="0" applyFill="1" applyBorder="1" applyAlignment="1">
      <alignment vertical="center"/>
    </xf>
    <xf numFmtId="2" fontId="0" fillId="5" borderId="12" xfId="0" applyNumberFormat="1" applyFill="1" applyBorder="1" applyAlignment="1">
      <alignment horizontal="right" vertical="center"/>
    </xf>
    <xf numFmtId="0" fontId="0" fillId="7" borderId="7" xfId="0" applyFill="1" applyBorder="1"/>
    <xf numFmtId="0" fontId="0" fillId="7" borderId="8" xfId="0" applyFill="1" applyBorder="1"/>
    <xf numFmtId="0" fontId="0" fillId="10" borderId="7" xfId="0" applyFill="1" applyBorder="1"/>
    <xf numFmtId="0" fontId="0" fillId="10" borderId="9" xfId="0" applyFill="1" applyBorder="1" applyAlignment="1">
      <alignment horizontal="center" vertical="center"/>
    </xf>
    <xf numFmtId="0" fontId="0" fillId="11" borderId="8" xfId="0" applyFill="1" applyBorder="1"/>
    <xf numFmtId="0" fontId="0" fillId="7" borderId="13" xfId="0" applyFill="1" applyBorder="1"/>
    <xf numFmtId="2" fontId="0" fillId="2" borderId="14" xfId="0" applyNumberFormat="1" applyFill="1" applyBorder="1"/>
    <xf numFmtId="0" fontId="0" fillId="0" borderId="15" xfId="0" applyBorder="1"/>
    <xf numFmtId="0" fontId="0" fillId="0" borderId="8" xfId="0" applyBorder="1"/>
    <xf numFmtId="0" fontId="0" fillId="7" borderId="8" xfId="0" applyFill="1" applyBorder="1" applyAlignment="1">
      <alignment horizontal="center" vertical="center"/>
    </xf>
    <xf numFmtId="0" fontId="0" fillId="2" borderId="8" xfId="0" applyFill="1" applyBorder="1"/>
    <xf numFmtId="2" fontId="0" fillId="3" borderId="7" xfId="0" applyNumberFormat="1" applyFill="1" applyBorder="1"/>
    <xf numFmtId="0" fontId="0" fillId="7" borderId="8" xfId="0" applyFill="1" applyBorder="1" applyAlignment="1">
      <alignment horizontal="center"/>
    </xf>
    <xf numFmtId="2" fontId="0" fillId="2" borderId="8" xfId="0" applyNumberFormat="1" applyFill="1" applyBorder="1"/>
    <xf numFmtId="0" fontId="0" fillId="10" borderId="8" xfId="0" applyFill="1" applyBorder="1"/>
    <xf numFmtId="2" fontId="0" fillId="7" borderId="11" xfId="0" applyNumberFormat="1" applyFill="1" applyBorder="1" applyAlignment="1">
      <alignment horizontal="right" vertical="center"/>
    </xf>
    <xf numFmtId="0" fontId="0" fillId="12" borderId="7" xfId="0" applyFill="1" applyBorder="1"/>
    <xf numFmtId="0" fontId="0" fillId="12" borderId="12" xfId="0" applyFill="1" applyBorder="1"/>
    <xf numFmtId="2" fontId="0" fillId="3" borderId="12" xfId="0" applyNumberFormat="1" applyFill="1" applyBorder="1"/>
    <xf numFmtId="2" fontId="0" fillId="13" borderId="7" xfId="0" applyNumberFormat="1" applyFill="1" applyBorder="1"/>
    <xf numFmtId="0" fontId="0" fillId="10" borderId="8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2" fontId="0" fillId="3" borderId="8" xfId="0" applyNumberFormat="1" applyFill="1" applyBorder="1"/>
    <xf numFmtId="2" fontId="0" fillId="3" borderId="8" xfId="0" applyNumberFormat="1" applyFill="1" applyBorder="1" applyAlignment="1">
      <alignment horizontal="right" vertical="center"/>
    </xf>
    <xf numFmtId="2" fontId="0" fillId="7" borderId="10" xfId="0" applyNumberFormat="1" applyFill="1" applyBorder="1" applyAlignment="1">
      <alignment horizontal="right" vertical="center"/>
    </xf>
    <xf numFmtId="2" fontId="0" fillId="3" borderId="10" xfId="0" applyNumberFormat="1" applyFill="1" applyBorder="1" applyAlignment="1">
      <alignment horizontal="right" vertical="center"/>
    </xf>
    <xf numFmtId="2" fontId="0" fillId="8" borderId="10" xfId="0" applyNumberFormat="1" applyFill="1" applyBorder="1" applyAlignment="1">
      <alignment horizontal="right" vertical="center"/>
    </xf>
    <xf numFmtId="2" fontId="0" fillId="0" borderId="10" xfId="0" applyNumberFormat="1" applyBorder="1"/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2" fontId="0" fillId="0" borderId="12" xfId="0" applyNumberFormat="1" applyBorder="1"/>
    <xf numFmtId="0" fontId="0" fillId="10" borderId="8" xfId="0" applyFill="1" applyBorder="1" applyAlignment="1">
      <alignment horizontal="center" vertical="center"/>
    </xf>
    <xf numFmtId="0" fontId="0" fillId="3" borderId="8" xfId="0" applyFill="1" applyBorder="1"/>
    <xf numFmtId="2" fontId="0" fillId="5" borderId="8" xfId="0" applyNumberFormat="1" applyFill="1" applyBorder="1" applyAlignment="1">
      <alignment horizontal="right" vertical="center"/>
    </xf>
    <xf numFmtId="2" fontId="0" fillId="7" borderId="8" xfId="0" applyNumberFormat="1" applyFill="1" applyBorder="1" applyAlignment="1">
      <alignment horizontal="right" vertical="center"/>
    </xf>
    <xf numFmtId="2" fontId="0" fillId="9" borderId="8" xfId="0" applyNumberFormat="1" applyFill="1" applyBorder="1" applyAlignment="1">
      <alignment horizontal="right" vertical="center"/>
    </xf>
    <xf numFmtId="2" fontId="0" fillId="10" borderId="10" xfId="0" applyNumberFormat="1" applyFill="1" applyBorder="1" applyAlignment="1">
      <alignment horizontal="right" vertical="center"/>
    </xf>
    <xf numFmtId="0" fontId="0" fillId="0" borderId="8" xfId="0" applyBorder="1" applyAlignment="1">
      <alignment horizontal="left"/>
    </xf>
    <xf numFmtId="2" fontId="0" fillId="2" borderId="8" xfId="0" applyNumberFormat="1" applyFill="1" applyBorder="1" applyAlignment="1">
      <alignment horizontal="left"/>
    </xf>
    <xf numFmtId="2" fontId="0" fillId="3" borderId="10" xfId="0" applyNumberFormat="1" applyFill="1" applyBorder="1"/>
    <xf numFmtId="0" fontId="0" fillId="10" borderId="8" xfId="0" applyFill="1" applyBorder="1" applyAlignment="1">
      <alignment horizontal="left"/>
    </xf>
    <xf numFmtId="2" fontId="0" fillId="14" borderId="8" xfId="0" applyNumberFormat="1" applyFill="1" applyBorder="1"/>
    <xf numFmtId="2" fontId="0" fillId="8" borderId="11" xfId="0" applyNumberFormat="1" applyFill="1" applyBorder="1" applyAlignment="1">
      <alignment horizontal="right" vertical="center"/>
    </xf>
    <xf numFmtId="2" fontId="0" fillId="0" borderId="8" xfId="0" applyNumberFormat="1" applyBorder="1"/>
    <xf numFmtId="0" fontId="0" fillId="5" borderId="8" xfId="0" applyFill="1" applyBorder="1"/>
    <xf numFmtId="0" fontId="0" fillId="7" borderId="6" xfId="0" applyFill="1" applyBorder="1"/>
    <xf numFmtId="2" fontId="0" fillId="3" borderId="9" xfId="0" applyNumberFormat="1" applyFill="1" applyBorder="1" applyAlignment="1">
      <alignment horizontal="left" vertical="center"/>
    </xf>
    <xf numFmtId="2" fontId="1" fillId="14" borderId="8" xfId="0" applyNumberFormat="1" applyFont="1" applyFill="1" applyBorder="1" applyAlignment="1">
      <alignment horizontal="right" vertical="center"/>
    </xf>
    <xf numFmtId="2" fontId="0" fillId="10" borderId="8" xfId="0" applyNumberFormat="1" applyFill="1" applyBorder="1"/>
    <xf numFmtId="2" fontId="1" fillId="3" borderId="8" xfId="0" applyNumberFormat="1" applyFont="1" applyFill="1" applyBorder="1"/>
    <xf numFmtId="0" fontId="0" fillId="2" borderId="10" xfId="0" applyFill="1" applyBorder="1" applyAlignment="1">
      <alignment horizontal="center" vertical="center"/>
    </xf>
    <xf numFmtId="0" fontId="0" fillId="0" borderId="10" xfId="0" applyBorder="1"/>
    <xf numFmtId="14" fontId="0" fillId="0" borderId="8" xfId="0" applyNumberFormat="1" applyBorder="1"/>
    <xf numFmtId="14" fontId="0" fillId="7" borderId="8" xfId="0" applyNumberFormat="1" applyFill="1" applyBorder="1"/>
    <xf numFmtId="0" fontId="0" fillId="7" borderId="9" xfId="0" applyFill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6" fillId="15" borderId="18" xfId="0" applyFont="1" applyFill="1" applyBorder="1" applyAlignment="1">
      <alignment horizontal="center" vertical="center"/>
    </xf>
    <xf numFmtId="0" fontId="6" fillId="15" borderId="19" xfId="0" applyFont="1" applyFill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/>
    </xf>
    <xf numFmtId="0" fontId="6" fillId="15" borderId="21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6" fillId="15" borderId="23" xfId="0" applyFont="1" applyFill="1" applyBorder="1" applyAlignment="1">
      <alignment horizontal="center" vertical="center"/>
    </xf>
    <xf numFmtId="0" fontId="6" fillId="15" borderId="24" xfId="0" applyFont="1" applyFill="1" applyBorder="1" applyAlignment="1">
      <alignment horizontal="center" vertical="center"/>
    </xf>
    <xf numFmtId="0" fontId="6" fillId="15" borderId="11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15" borderId="8" xfId="0" applyFill="1" applyBorder="1" applyAlignment="1">
      <alignment vertical="center"/>
    </xf>
    <xf numFmtId="0" fontId="1" fillId="7" borderId="8" xfId="0" applyFont="1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8" xfId="0" applyFill="1" applyBorder="1" applyAlignment="1">
      <alignment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8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14" fontId="1" fillId="7" borderId="8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14" fontId="9" fillId="7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82550</xdr:rowOff>
    </xdr:from>
    <xdr:to>
      <xdr:col>0</xdr:col>
      <xdr:colOff>990600</xdr:colOff>
      <xdr:row>6</xdr:row>
      <xdr:rowOff>31750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CCC5177-9816-4238-BD5A-93607C687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550"/>
          <a:ext cx="99060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1E24-C0EF-4C8A-9E1D-564BBC1C0F00}">
  <dimension ref="A1:X120"/>
  <sheetViews>
    <sheetView workbookViewId="0">
      <selection activeCell="Q5" sqref="Q5"/>
    </sheetView>
  </sheetViews>
  <sheetFormatPr baseColWidth="10" defaultRowHeight="14"/>
  <sheetData>
    <row r="1" spans="1:24" ht="42.5" thickBot="1">
      <c r="A1" s="1" t="s">
        <v>0</v>
      </c>
      <c r="B1" s="2" t="s">
        <v>1</v>
      </c>
      <c r="C1" s="2" t="s">
        <v>2</v>
      </c>
      <c r="D1" s="3" t="s">
        <v>143</v>
      </c>
      <c r="E1" s="3" t="s">
        <v>144</v>
      </c>
      <c r="F1" s="4" t="s">
        <v>3</v>
      </c>
      <c r="G1" s="5" t="s">
        <v>4</v>
      </c>
      <c r="H1" s="4" t="s">
        <v>5</v>
      </c>
      <c r="I1" s="6" t="s">
        <v>6</v>
      </c>
      <c r="J1" s="4" t="s">
        <v>361</v>
      </c>
      <c r="K1" s="7" t="s">
        <v>7</v>
      </c>
      <c r="L1" s="8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10" t="s">
        <v>19</v>
      </c>
      <c r="X1" s="10" t="s">
        <v>9</v>
      </c>
    </row>
    <row r="2" spans="1:24">
      <c r="A2" s="11" t="s">
        <v>0</v>
      </c>
      <c r="B2" s="12" t="s">
        <v>20</v>
      </c>
      <c r="C2" s="12">
        <v>2024</v>
      </c>
      <c r="D2" s="13" t="s">
        <v>145</v>
      </c>
      <c r="E2" s="84" t="s">
        <v>147</v>
      </c>
      <c r="F2" s="14" t="s">
        <v>21</v>
      </c>
      <c r="G2" s="15">
        <v>45562</v>
      </c>
      <c r="H2" s="16"/>
      <c r="I2" s="17">
        <v>1170</v>
      </c>
      <c r="J2" s="18">
        <f t="shared" ref="J2:J65" si="0">SUM(M2:X2)</f>
        <v>13870</v>
      </c>
      <c r="K2" s="19">
        <f>SUM(M2:V2)</f>
        <v>12700</v>
      </c>
      <c r="L2" s="20">
        <f>J2-K2</f>
        <v>1170</v>
      </c>
      <c r="M2" s="21">
        <v>2170</v>
      </c>
      <c r="N2" s="22">
        <v>1170</v>
      </c>
      <c r="O2" s="22">
        <v>1170</v>
      </c>
      <c r="P2" s="22">
        <f t="shared" ref="P2:W17" si="1">$I2</f>
        <v>1170</v>
      </c>
      <c r="Q2" s="22">
        <f t="shared" si="1"/>
        <v>1170</v>
      </c>
      <c r="R2" s="22">
        <f t="shared" si="1"/>
        <v>1170</v>
      </c>
      <c r="S2" s="22">
        <f t="shared" si="1"/>
        <v>1170</v>
      </c>
      <c r="T2" s="22">
        <f t="shared" si="1"/>
        <v>1170</v>
      </c>
      <c r="U2" s="22">
        <f t="shared" si="1"/>
        <v>1170</v>
      </c>
      <c r="V2" s="22">
        <f t="shared" si="1"/>
        <v>1170</v>
      </c>
      <c r="W2" s="23">
        <f t="shared" si="1"/>
        <v>1170</v>
      </c>
      <c r="X2" s="24"/>
    </row>
    <row r="3" spans="1:24">
      <c r="A3" s="11" t="s">
        <v>0</v>
      </c>
      <c r="B3" s="12" t="s">
        <v>20</v>
      </c>
      <c r="C3" s="12">
        <v>2024</v>
      </c>
      <c r="D3" s="13" t="s">
        <v>148</v>
      </c>
      <c r="E3" s="84" t="s">
        <v>149</v>
      </c>
      <c r="F3" s="14" t="s">
        <v>22</v>
      </c>
      <c r="G3" s="15">
        <v>45538</v>
      </c>
      <c r="H3" s="16"/>
      <c r="I3" s="17">
        <v>1170</v>
      </c>
      <c r="J3" s="18">
        <f t="shared" si="0"/>
        <v>13870</v>
      </c>
      <c r="K3" s="19">
        <f>SUM(M3:V3)</f>
        <v>12700</v>
      </c>
      <c r="L3" s="20">
        <f t="shared" ref="L3:L66" si="2">J3-K3</f>
        <v>1170</v>
      </c>
      <c r="M3" s="21">
        <v>2170</v>
      </c>
      <c r="N3" s="22">
        <v>1170</v>
      </c>
      <c r="O3" s="22">
        <v>1170</v>
      </c>
      <c r="P3" s="22">
        <f t="shared" si="1"/>
        <v>1170</v>
      </c>
      <c r="Q3" s="22">
        <f t="shared" si="1"/>
        <v>1170</v>
      </c>
      <c r="R3" s="22">
        <f t="shared" si="1"/>
        <v>1170</v>
      </c>
      <c r="S3" s="22">
        <f t="shared" si="1"/>
        <v>1170</v>
      </c>
      <c r="T3" s="22">
        <f t="shared" si="1"/>
        <v>1170</v>
      </c>
      <c r="U3" s="22">
        <f t="shared" si="1"/>
        <v>1170</v>
      </c>
      <c r="V3" s="22">
        <f t="shared" si="1"/>
        <v>1170</v>
      </c>
      <c r="W3" s="23">
        <f t="shared" si="1"/>
        <v>1170</v>
      </c>
      <c r="X3" s="24"/>
    </row>
    <row r="4" spans="1:24">
      <c r="A4" s="11" t="s">
        <v>0</v>
      </c>
      <c r="B4" s="12" t="s">
        <v>20</v>
      </c>
      <c r="C4" s="12">
        <v>2024</v>
      </c>
      <c r="D4" s="13" t="s">
        <v>150</v>
      </c>
      <c r="E4" s="84" t="s">
        <v>151</v>
      </c>
      <c r="F4" s="14" t="s">
        <v>23</v>
      </c>
      <c r="G4" s="15">
        <v>45553</v>
      </c>
      <c r="H4" s="25" t="s">
        <v>24</v>
      </c>
      <c r="I4" s="17">
        <v>1170</v>
      </c>
      <c r="J4" s="18">
        <f t="shared" si="0"/>
        <v>13870</v>
      </c>
      <c r="K4" s="19">
        <f>SUM(M4:T4)</f>
        <v>10360</v>
      </c>
      <c r="L4" s="20">
        <f t="shared" si="2"/>
        <v>3510</v>
      </c>
      <c r="M4" s="21">
        <v>2170</v>
      </c>
      <c r="N4" s="22">
        <v>1170</v>
      </c>
      <c r="O4" s="22">
        <v>1170</v>
      </c>
      <c r="P4" s="22">
        <f t="shared" si="1"/>
        <v>1170</v>
      </c>
      <c r="Q4" s="22">
        <f t="shared" si="1"/>
        <v>1170</v>
      </c>
      <c r="R4" s="22">
        <f t="shared" si="1"/>
        <v>1170</v>
      </c>
      <c r="S4" s="22">
        <f t="shared" si="1"/>
        <v>1170</v>
      </c>
      <c r="T4" s="22">
        <f t="shared" si="1"/>
        <v>1170</v>
      </c>
      <c r="U4" s="26">
        <v>0</v>
      </c>
      <c r="V4" s="26">
        <v>0</v>
      </c>
      <c r="W4" s="27">
        <v>3510</v>
      </c>
      <c r="X4" s="24"/>
    </row>
    <row r="5" spans="1:24">
      <c r="A5" s="11" t="s">
        <v>0</v>
      </c>
      <c r="B5" s="12" t="s">
        <v>20</v>
      </c>
      <c r="C5" s="12">
        <v>2024</v>
      </c>
      <c r="D5" s="13" t="s">
        <v>152</v>
      </c>
      <c r="E5" s="84" t="s">
        <v>153</v>
      </c>
      <c r="F5" s="14" t="s">
        <v>25</v>
      </c>
      <c r="G5" s="15">
        <v>45542</v>
      </c>
      <c r="H5" s="16"/>
      <c r="I5" s="17">
        <v>1300</v>
      </c>
      <c r="J5" s="18">
        <f t="shared" si="0"/>
        <v>15300</v>
      </c>
      <c r="K5" s="19">
        <f t="shared" ref="K5:K8" si="3">SUM(M5:V5)</f>
        <v>14000</v>
      </c>
      <c r="L5" s="20">
        <f t="shared" si="2"/>
        <v>1300</v>
      </c>
      <c r="M5" s="21">
        <v>2300</v>
      </c>
      <c r="N5" s="22">
        <v>1300</v>
      </c>
      <c r="O5" s="22">
        <v>1300</v>
      </c>
      <c r="P5" s="22">
        <f t="shared" si="1"/>
        <v>1300</v>
      </c>
      <c r="Q5" s="22">
        <f t="shared" si="1"/>
        <v>1300</v>
      </c>
      <c r="R5" s="22">
        <f t="shared" si="1"/>
        <v>1300</v>
      </c>
      <c r="S5" s="22">
        <f t="shared" si="1"/>
        <v>1300</v>
      </c>
      <c r="T5" s="22">
        <f t="shared" si="1"/>
        <v>1300</v>
      </c>
      <c r="U5" s="22">
        <f t="shared" si="1"/>
        <v>1300</v>
      </c>
      <c r="V5" s="22">
        <f t="shared" si="1"/>
        <v>1300</v>
      </c>
      <c r="W5" s="23">
        <f t="shared" si="1"/>
        <v>1300</v>
      </c>
      <c r="X5" s="24"/>
    </row>
    <row r="6" spans="1:24">
      <c r="A6" s="11" t="s">
        <v>0</v>
      </c>
      <c r="B6" s="12" t="s">
        <v>20</v>
      </c>
      <c r="C6" s="12">
        <v>2024</v>
      </c>
      <c r="D6" s="13" t="s">
        <v>154</v>
      </c>
      <c r="E6" s="84" t="s">
        <v>155</v>
      </c>
      <c r="F6" s="14" t="s">
        <v>26</v>
      </c>
      <c r="G6" s="15">
        <v>45580</v>
      </c>
      <c r="H6" s="16"/>
      <c r="I6" s="17">
        <v>1200</v>
      </c>
      <c r="J6" s="18">
        <f t="shared" si="0"/>
        <v>14200</v>
      </c>
      <c r="K6" s="19">
        <f t="shared" si="3"/>
        <v>13000</v>
      </c>
      <c r="L6" s="20">
        <f t="shared" si="2"/>
        <v>1200</v>
      </c>
      <c r="M6" s="21">
        <v>2200</v>
      </c>
      <c r="N6" s="22">
        <v>1200</v>
      </c>
      <c r="O6" s="22">
        <v>1200</v>
      </c>
      <c r="P6" s="22">
        <f t="shared" si="1"/>
        <v>1200</v>
      </c>
      <c r="Q6" s="22">
        <f t="shared" si="1"/>
        <v>1200</v>
      </c>
      <c r="R6" s="22">
        <f t="shared" si="1"/>
        <v>1200</v>
      </c>
      <c r="S6" s="22">
        <f t="shared" si="1"/>
        <v>1200</v>
      </c>
      <c r="T6" s="22">
        <f t="shared" si="1"/>
        <v>1200</v>
      </c>
      <c r="U6" s="22">
        <f t="shared" si="1"/>
        <v>1200</v>
      </c>
      <c r="V6" s="22">
        <f t="shared" si="1"/>
        <v>1200</v>
      </c>
      <c r="W6" s="23">
        <f t="shared" si="1"/>
        <v>1200</v>
      </c>
      <c r="X6" s="24"/>
    </row>
    <row r="7" spans="1:24">
      <c r="A7" s="11" t="s">
        <v>0</v>
      </c>
      <c r="B7" s="12" t="s">
        <v>20</v>
      </c>
      <c r="C7" s="12">
        <v>2024</v>
      </c>
      <c r="D7" s="13" t="s">
        <v>156</v>
      </c>
      <c r="E7" s="84" t="s">
        <v>157</v>
      </c>
      <c r="F7" s="14" t="s">
        <v>27</v>
      </c>
      <c r="G7" s="15">
        <v>45576</v>
      </c>
      <c r="H7" s="16"/>
      <c r="I7" s="17">
        <v>1300</v>
      </c>
      <c r="J7" s="18">
        <f t="shared" si="0"/>
        <v>14700</v>
      </c>
      <c r="K7" s="19">
        <f t="shared" si="3"/>
        <v>13000</v>
      </c>
      <c r="L7" s="20">
        <f t="shared" si="2"/>
        <v>1700</v>
      </c>
      <c r="M7" s="21">
        <v>3000</v>
      </c>
      <c r="N7" s="22">
        <v>0</v>
      </c>
      <c r="O7" s="22">
        <v>1300</v>
      </c>
      <c r="P7" s="22">
        <f t="shared" si="1"/>
        <v>1300</v>
      </c>
      <c r="Q7" s="22">
        <v>900</v>
      </c>
      <c r="R7" s="22">
        <v>1300</v>
      </c>
      <c r="S7" s="22">
        <f t="shared" si="1"/>
        <v>1300</v>
      </c>
      <c r="T7" s="22">
        <f t="shared" si="1"/>
        <v>1300</v>
      </c>
      <c r="U7" s="29">
        <v>0</v>
      </c>
      <c r="V7" s="22">
        <v>2600</v>
      </c>
      <c r="W7" s="27">
        <v>1700</v>
      </c>
      <c r="X7" s="24"/>
    </row>
    <row r="8" spans="1:24">
      <c r="A8" s="11" t="s">
        <v>0</v>
      </c>
      <c r="B8" s="12" t="s">
        <v>28</v>
      </c>
      <c r="C8" s="12">
        <v>2024</v>
      </c>
      <c r="D8" s="13" t="s">
        <v>158</v>
      </c>
      <c r="E8" s="84" t="s">
        <v>159</v>
      </c>
      <c r="F8" s="14" t="s">
        <v>29</v>
      </c>
      <c r="G8" s="15">
        <v>45504</v>
      </c>
      <c r="H8" s="16"/>
      <c r="I8" s="17">
        <v>1000</v>
      </c>
      <c r="J8" s="18">
        <f t="shared" si="0"/>
        <v>12100</v>
      </c>
      <c r="K8" s="19">
        <f t="shared" si="3"/>
        <v>10500</v>
      </c>
      <c r="L8" s="20">
        <f t="shared" si="2"/>
        <v>1600</v>
      </c>
      <c r="M8" s="21">
        <v>1000</v>
      </c>
      <c r="N8" s="22">
        <v>1000</v>
      </c>
      <c r="O8" s="22">
        <v>1000</v>
      </c>
      <c r="P8" s="22">
        <f t="shared" si="1"/>
        <v>1000</v>
      </c>
      <c r="Q8" s="22">
        <f t="shared" si="1"/>
        <v>1000</v>
      </c>
      <c r="R8" s="22">
        <f t="shared" si="1"/>
        <v>1000</v>
      </c>
      <c r="S8" s="22">
        <f t="shared" si="1"/>
        <v>1000</v>
      </c>
      <c r="T8" s="22">
        <v>1300</v>
      </c>
      <c r="U8" s="22">
        <v>1100</v>
      </c>
      <c r="V8" s="22">
        <v>1100</v>
      </c>
      <c r="W8" s="23">
        <v>600</v>
      </c>
      <c r="X8" s="23">
        <f>$I8</f>
        <v>1000</v>
      </c>
    </row>
    <row r="9" spans="1:24">
      <c r="A9" s="11" t="s">
        <v>0</v>
      </c>
      <c r="B9" s="12" t="s">
        <v>20</v>
      </c>
      <c r="C9" s="12">
        <v>2024</v>
      </c>
      <c r="D9" s="13" t="s">
        <v>160</v>
      </c>
      <c r="E9" s="84" t="s">
        <v>161</v>
      </c>
      <c r="F9" s="14" t="s">
        <v>30</v>
      </c>
      <c r="G9" s="15">
        <v>45510</v>
      </c>
      <c r="H9" s="16"/>
      <c r="I9" s="17">
        <v>1300</v>
      </c>
      <c r="J9" s="18">
        <f t="shared" si="0"/>
        <v>15300</v>
      </c>
      <c r="K9" s="19">
        <f>SUM(M9:V9)</f>
        <v>14000</v>
      </c>
      <c r="L9" s="20">
        <f t="shared" si="2"/>
        <v>1300</v>
      </c>
      <c r="M9" s="21">
        <v>2300</v>
      </c>
      <c r="N9" s="22">
        <v>1300</v>
      </c>
      <c r="O9" s="22">
        <v>1300</v>
      </c>
      <c r="P9" s="22">
        <f t="shared" si="1"/>
        <v>1300</v>
      </c>
      <c r="Q9" s="22">
        <v>2600</v>
      </c>
      <c r="R9" s="22">
        <v>0</v>
      </c>
      <c r="S9" s="22">
        <f t="shared" si="1"/>
        <v>1300</v>
      </c>
      <c r="T9" s="22">
        <f t="shared" si="1"/>
        <v>1300</v>
      </c>
      <c r="U9" s="22">
        <f t="shared" si="1"/>
        <v>1300</v>
      </c>
      <c r="V9" s="22">
        <f t="shared" si="1"/>
        <v>1300</v>
      </c>
      <c r="W9" s="23">
        <f t="shared" si="1"/>
        <v>1300</v>
      </c>
      <c r="X9" s="24"/>
    </row>
    <row r="10" spans="1:24">
      <c r="A10" s="11" t="s">
        <v>0</v>
      </c>
      <c r="B10" s="12" t="s">
        <v>20</v>
      </c>
      <c r="C10" s="12">
        <v>2024</v>
      </c>
      <c r="D10" s="13" t="s">
        <v>146</v>
      </c>
      <c r="E10" s="84" t="s">
        <v>162</v>
      </c>
      <c r="F10" s="14" t="s">
        <v>31</v>
      </c>
      <c r="G10" s="15">
        <v>45505</v>
      </c>
      <c r="H10" s="16"/>
      <c r="I10" s="17">
        <v>1300</v>
      </c>
      <c r="J10" s="18">
        <f t="shared" si="0"/>
        <v>15300</v>
      </c>
      <c r="K10" s="19">
        <f t="shared" ref="K10:K15" si="4">SUM(M10:V10)</f>
        <v>14000</v>
      </c>
      <c r="L10" s="20">
        <f t="shared" si="2"/>
        <v>1300</v>
      </c>
      <c r="M10" s="21">
        <v>2300</v>
      </c>
      <c r="N10" s="22">
        <v>1300</v>
      </c>
      <c r="O10" s="22">
        <v>1300</v>
      </c>
      <c r="P10" s="22">
        <f t="shared" si="1"/>
        <v>1300</v>
      </c>
      <c r="Q10" s="22">
        <f t="shared" si="1"/>
        <v>1300</v>
      </c>
      <c r="R10" s="22">
        <f t="shared" si="1"/>
        <v>1300</v>
      </c>
      <c r="S10" s="22">
        <f t="shared" si="1"/>
        <v>1300</v>
      </c>
      <c r="T10" s="22">
        <f t="shared" si="1"/>
        <v>1300</v>
      </c>
      <c r="U10" s="22">
        <f t="shared" si="1"/>
        <v>1300</v>
      </c>
      <c r="V10" s="22">
        <f t="shared" si="1"/>
        <v>1300</v>
      </c>
      <c r="W10" s="23">
        <f t="shared" si="1"/>
        <v>1300</v>
      </c>
      <c r="X10" s="24"/>
    </row>
    <row r="11" spans="1:24">
      <c r="A11" s="11" t="s">
        <v>0</v>
      </c>
      <c r="B11" s="12" t="s">
        <v>20</v>
      </c>
      <c r="C11" s="12">
        <v>2024</v>
      </c>
      <c r="D11" s="13" t="s">
        <v>163</v>
      </c>
      <c r="E11" s="84" t="s">
        <v>164</v>
      </c>
      <c r="F11" s="14" t="s">
        <v>32</v>
      </c>
      <c r="G11" s="15">
        <v>45540</v>
      </c>
      <c r="H11" s="16"/>
      <c r="I11" s="17">
        <v>1170</v>
      </c>
      <c r="J11" s="18">
        <f t="shared" si="0"/>
        <v>13870</v>
      </c>
      <c r="K11" s="19">
        <f t="shared" si="4"/>
        <v>12700</v>
      </c>
      <c r="L11" s="20">
        <f t="shared" si="2"/>
        <v>1170</v>
      </c>
      <c r="M11" s="21">
        <v>2170</v>
      </c>
      <c r="N11" s="22">
        <v>1170</v>
      </c>
      <c r="O11" s="22">
        <v>1170</v>
      </c>
      <c r="P11" s="22">
        <f t="shared" si="1"/>
        <v>1170</v>
      </c>
      <c r="Q11" s="22">
        <f t="shared" si="1"/>
        <v>1170</v>
      </c>
      <c r="R11" s="22">
        <f t="shared" si="1"/>
        <v>1170</v>
      </c>
      <c r="S11" s="22">
        <f t="shared" si="1"/>
        <v>1170</v>
      </c>
      <c r="T11" s="22">
        <f t="shared" si="1"/>
        <v>1170</v>
      </c>
      <c r="U11" s="22">
        <f t="shared" si="1"/>
        <v>1170</v>
      </c>
      <c r="V11" s="22">
        <f t="shared" si="1"/>
        <v>1170</v>
      </c>
      <c r="W11" s="23">
        <f t="shared" si="1"/>
        <v>1170</v>
      </c>
      <c r="X11" s="24"/>
    </row>
    <row r="12" spans="1:24">
      <c r="A12" s="11" t="s">
        <v>0</v>
      </c>
      <c r="B12" s="12" t="s">
        <v>20</v>
      </c>
      <c r="C12" s="12">
        <v>2024</v>
      </c>
      <c r="D12" s="13" t="s">
        <v>165</v>
      </c>
      <c r="E12" s="84" t="s">
        <v>166</v>
      </c>
      <c r="F12" s="14" t="s">
        <v>33</v>
      </c>
      <c r="G12" s="15">
        <v>45565</v>
      </c>
      <c r="H12" s="16"/>
      <c r="I12" s="17">
        <v>1300</v>
      </c>
      <c r="J12" s="18">
        <f t="shared" si="0"/>
        <v>15300</v>
      </c>
      <c r="K12" s="19">
        <f t="shared" si="4"/>
        <v>12700</v>
      </c>
      <c r="L12" s="20">
        <f t="shared" si="2"/>
        <v>2600</v>
      </c>
      <c r="M12" s="21">
        <v>2300</v>
      </c>
      <c r="N12" s="22">
        <v>1300</v>
      </c>
      <c r="O12" s="22">
        <v>1300</v>
      </c>
      <c r="P12" s="22">
        <f t="shared" si="1"/>
        <v>1300</v>
      </c>
      <c r="Q12" s="22">
        <f t="shared" si="1"/>
        <v>1300</v>
      </c>
      <c r="R12" s="22">
        <f t="shared" si="1"/>
        <v>1300</v>
      </c>
      <c r="S12" s="22">
        <f t="shared" si="1"/>
        <v>1300</v>
      </c>
      <c r="T12" s="22">
        <f t="shared" si="1"/>
        <v>1300</v>
      </c>
      <c r="U12" s="29">
        <v>0</v>
      </c>
      <c r="V12" s="22">
        <v>1300</v>
      </c>
      <c r="W12" s="23">
        <v>2600</v>
      </c>
      <c r="X12" s="24"/>
    </row>
    <row r="13" spans="1:24">
      <c r="A13" s="11" t="s">
        <v>0</v>
      </c>
      <c r="B13" s="30" t="s">
        <v>20</v>
      </c>
      <c r="C13" s="30">
        <v>2024</v>
      </c>
      <c r="D13" s="13" t="s">
        <v>167</v>
      </c>
      <c r="E13" s="84" t="s">
        <v>168</v>
      </c>
      <c r="F13" s="14" t="s">
        <v>34</v>
      </c>
      <c r="G13" s="15">
        <v>45605</v>
      </c>
      <c r="H13" s="16"/>
      <c r="I13" s="17">
        <v>1300</v>
      </c>
      <c r="J13" s="18">
        <f t="shared" si="0"/>
        <v>15300</v>
      </c>
      <c r="K13" s="19">
        <f t="shared" si="4"/>
        <v>14000</v>
      </c>
      <c r="L13" s="20">
        <f t="shared" si="2"/>
        <v>1300</v>
      </c>
      <c r="M13" s="21">
        <v>2300</v>
      </c>
      <c r="N13" s="22">
        <v>1300</v>
      </c>
      <c r="O13" s="22">
        <v>1300</v>
      </c>
      <c r="P13" s="22">
        <f t="shared" si="1"/>
        <v>1300</v>
      </c>
      <c r="Q13" s="22">
        <f t="shared" si="1"/>
        <v>1300</v>
      </c>
      <c r="R13" s="22">
        <f t="shared" si="1"/>
        <v>1300</v>
      </c>
      <c r="S13" s="22">
        <f t="shared" si="1"/>
        <v>1300</v>
      </c>
      <c r="T13" s="22">
        <f t="shared" si="1"/>
        <v>1300</v>
      </c>
      <c r="U13" s="29">
        <v>0</v>
      </c>
      <c r="V13" s="22">
        <v>2600</v>
      </c>
      <c r="W13" s="23">
        <f t="shared" si="1"/>
        <v>1300</v>
      </c>
      <c r="X13" s="24"/>
    </row>
    <row r="14" spans="1:24">
      <c r="A14" s="11" t="s">
        <v>0</v>
      </c>
      <c r="B14" s="30" t="s">
        <v>20</v>
      </c>
      <c r="C14" s="30">
        <v>2024</v>
      </c>
      <c r="D14" s="13" t="s">
        <v>169</v>
      </c>
      <c r="E14" s="84" t="s">
        <v>170</v>
      </c>
      <c r="F14" s="14" t="s">
        <v>35</v>
      </c>
      <c r="G14" s="15">
        <v>45530</v>
      </c>
      <c r="H14" s="16"/>
      <c r="I14" s="17">
        <v>1170</v>
      </c>
      <c r="J14" s="18">
        <f t="shared" si="0"/>
        <v>13870</v>
      </c>
      <c r="K14" s="19">
        <f t="shared" si="4"/>
        <v>12700</v>
      </c>
      <c r="L14" s="20">
        <f t="shared" si="2"/>
        <v>1170</v>
      </c>
      <c r="M14" s="21">
        <v>2170</v>
      </c>
      <c r="N14" s="22">
        <v>1170</v>
      </c>
      <c r="O14" s="22">
        <v>1170</v>
      </c>
      <c r="P14" s="22">
        <f t="shared" si="1"/>
        <v>1170</v>
      </c>
      <c r="Q14" s="22">
        <f t="shared" si="1"/>
        <v>1170</v>
      </c>
      <c r="R14" s="22">
        <f t="shared" si="1"/>
        <v>1170</v>
      </c>
      <c r="S14" s="22">
        <f t="shared" si="1"/>
        <v>1170</v>
      </c>
      <c r="T14" s="22">
        <f t="shared" si="1"/>
        <v>1170</v>
      </c>
      <c r="U14" s="29">
        <v>0</v>
      </c>
      <c r="V14" s="22">
        <v>2340</v>
      </c>
      <c r="W14" s="23">
        <f t="shared" si="1"/>
        <v>1170</v>
      </c>
      <c r="X14" s="24"/>
    </row>
    <row r="15" spans="1:24">
      <c r="A15" s="11" t="s">
        <v>0</v>
      </c>
      <c r="B15" s="30" t="s">
        <v>20</v>
      </c>
      <c r="C15" s="30">
        <v>2024</v>
      </c>
      <c r="D15" s="13" t="s">
        <v>171</v>
      </c>
      <c r="E15" s="84" t="s">
        <v>172</v>
      </c>
      <c r="F15" s="14" t="s">
        <v>36</v>
      </c>
      <c r="G15" s="15">
        <v>45604</v>
      </c>
      <c r="H15" s="16"/>
      <c r="I15" s="17">
        <v>1300</v>
      </c>
      <c r="J15" s="18">
        <f t="shared" si="0"/>
        <v>15300</v>
      </c>
      <c r="K15" s="19">
        <f t="shared" si="4"/>
        <v>14000</v>
      </c>
      <c r="L15" s="20">
        <f t="shared" si="2"/>
        <v>1300</v>
      </c>
      <c r="M15" s="21">
        <v>2300</v>
      </c>
      <c r="N15" s="22">
        <v>1300</v>
      </c>
      <c r="O15" s="22">
        <v>1300</v>
      </c>
      <c r="P15" s="22">
        <f t="shared" si="1"/>
        <v>1300</v>
      </c>
      <c r="Q15" s="22">
        <f t="shared" si="1"/>
        <v>1300</v>
      </c>
      <c r="R15" s="22">
        <f t="shared" si="1"/>
        <v>1300</v>
      </c>
      <c r="S15" s="22">
        <f t="shared" si="1"/>
        <v>1300</v>
      </c>
      <c r="T15" s="22">
        <f t="shared" si="1"/>
        <v>1300</v>
      </c>
      <c r="U15" s="22">
        <f t="shared" si="1"/>
        <v>1300</v>
      </c>
      <c r="V15" s="22">
        <f t="shared" si="1"/>
        <v>1300</v>
      </c>
      <c r="W15" s="23">
        <f t="shared" si="1"/>
        <v>1300</v>
      </c>
      <c r="X15" s="24"/>
    </row>
    <row r="16" spans="1:24">
      <c r="A16" s="11" t="s">
        <v>0</v>
      </c>
      <c r="B16" s="30" t="s">
        <v>20</v>
      </c>
      <c r="C16" s="30">
        <v>2024</v>
      </c>
      <c r="D16" s="13" t="s">
        <v>173</v>
      </c>
      <c r="E16" s="84" t="s">
        <v>174</v>
      </c>
      <c r="F16" s="14" t="s">
        <v>37</v>
      </c>
      <c r="G16" s="15">
        <v>45593</v>
      </c>
      <c r="H16" s="16"/>
      <c r="I16" s="17">
        <v>1300</v>
      </c>
      <c r="J16" s="18">
        <f t="shared" si="0"/>
        <v>15300</v>
      </c>
      <c r="K16" s="19">
        <f>SUM(M16:V16)</f>
        <v>14000</v>
      </c>
      <c r="L16" s="20">
        <f t="shared" si="2"/>
        <v>1300</v>
      </c>
      <c r="M16" s="21">
        <v>2300</v>
      </c>
      <c r="N16" s="22">
        <v>1300</v>
      </c>
      <c r="O16" s="22">
        <v>2600</v>
      </c>
      <c r="P16" s="22">
        <v>1300</v>
      </c>
      <c r="Q16" s="22">
        <v>6500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3">
        <f t="shared" si="1"/>
        <v>1300</v>
      </c>
      <c r="X16" s="24"/>
    </row>
    <row r="17" spans="1:24">
      <c r="A17" s="11" t="s">
        <v>0</v>
      </c>
      <c r="B17" s="30" t="s">
        <v>20</v>
      </c>
      <c r="C17" s="30">
        <v>2024</v>
      </c>
      <c r="D17" s="13" t="s">
        <v>175</v>
      </c>
      <c r="E17" s="84" t="s">
        <v>176</v>
      </c>
      <c r="F17" s="14" t="s">
        <v>38</v>
      </c>
      <c r="G17" s="15">
        <v>45537</v>
      </c>
      <c r="H17" s="16"/>
      <c r="I17" s="17">
        <v>1170</v>
      </c>
      <c r="J17" s="18">
        <f t="shared" si="0"/>
        <v>13870</v>
      </c>
      <c r="K17" s="19">
        <f>SUM(M17:V17)</f>
        <v>12700</v>
      </c>
      <c r="L17" s="20">
        <f t="shared" si="2"/>
        <v>1170</v>
      </c>
      <c r="M17" s="21">
        <v>2170</v>
      </c>
      <c r="N17" s="22">
        <v>1170</v>
      </c>
      <c r="O17" s="22">
        <v>1170</v>
      </c>
      <c r="P17" s="22">
        <f>$I17</f>
        <v>1170</v>
      </c>
      <c r="Q17" s="22">
        <f t="shared" si="1"/>
        <v>1170</v>
      </c>
      <c r="R17" s="22">
        <f t="shared" si="1"/>
        <v>1170</v>
      </c>
      <c r="S17" s="22">
        <f t="shared" si="1"/>
        <v>1170</v>
      </c>
      <c r="T17" s="22">
        <f t="shared" si="1"/>
        <v>1170</v>
      </c>
      <c r="U17" s="22">
        <f t="shared" si="1"/>
        <v>1170</v>
      </c>
      <c r="V17" s="22">
        <f t="shared" si="1"/>
        <v>1170</v>
      </c>
      <c r="W17" s="23">
        <f t="shared" si="1"/>
        <v>1170</v>
      </c>
      <c r="X17" s="24"/>
    </row>
    <row r="18" spans="1:24">
      <c r="A18" s="11" t="s">
        <v>39</v>
      </c>
      <c r="B18" s="32" t="s">
        <v>20</v>
      </c>
      <c r="C18" s="32">
        <v>2024</v>
      </c>
      <c r="D18" s="13" t="s">
        <v>177</v>
      </c>
      <c r="E18" s="84" t="s">
        <v>178</v>
      </c>
      <c r="F18" s="33" t="s">
        <v>40</v>
      </c>
      <c r="G18" s="15">
        <v>45544</v>
      </c>
      <c r="H18" s="34" t="s">
        <v>41</v>
      </c>
      <c r="I18" s="17">
        <v>1200</v>
      </c>
      <c r="J18" s="18">
        <f t="shared" si="0"/>
        <v>5800</v>
      </c>
      <c r="K18" s="19">
        <f>SUM(M18:X18)</f>
        <v>5800</v>
      </c>
      <c r="L18" s="20">
        <f t="shared" si="2"/>
        <v>0</v>
      </c>
      <c r="M18" s="21">
        <v>2200</v>
      </c>
      <c r="N18" s="22">
        <v>1200</v>
      </c>
      <c r="O18" s="22">
        <v>1200</v>
      </c>
      <c r="P18" s="22">
        <f>$I18</f>
        <v>1200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</row>
    <row r="19" spans="1:24">
      <c r="A19" s="11" t="s">
        <v>0</v>
      </c>
      <c r="B19" s="30" t="s">
        <v>20</v>
      </c>
      <c r="C19" s="30">
        <v>2024</v>
      </c>
      <c r="D19" s="13" t="s">
        <v>179</v>
      </c>
      <c r="E19" s="84" t="s">
        <v>180</v>
      </c>
      <c r="F19" s="14" t="s">
        <v>42</v>
      </c>
      <c r="G19" s="15">
        <v>45533</v>
      </c>
      <c r="H19" s="16"/>
      <c r="I19" s="17">
        <v>1300</v>
      </c>
      <c r="J19" s="18">
        <f t="shared" si="0"/>
        <v>15300</v>
      </c>
      <c r="K19" s="19">
        <f>SUM(M19:V19)</f>
        <v>14000</v>
      </c>
      <c r="L19" s="20">
        <f t="shared" si="2"/>
        <v>1300</v>
      </c>
      <c r="M19" s="21">
        <v>2300</v>
      </c>
      <c r="N19" s="22">
        <v>1300</v>
      </c>
      <c r="O19" s="22">
        <v>1300</v>
      </c>
      <c r="P19" s="22">
        <f>$I19</f>
        <v>1300</v>
      </c>
      <c r="Q19" s="22">
        <f t="shared" ref="Q19:W21" si="5">$I19</f>
        <v>1300</v>
      </c>
      <c r="R19" s="22">
        <f t="shared" si="5"/>
        <v>1300</v>
      </c>
      <c r="S19" s="22">
        <f t="shared" si="5"/>
        <v>1300</v>
      </c>
      <c r="T19" s="22">
        <f t="shared" si="5"/>
        <v>1300</v>
      </c>
      <c r="U19" s="22">
        <f t="shared" si="5"/>
        <v>1300</v>
      </c>
      <c r="V19" s="22">
        <f t="shared" si="5"/>
        <v>1300</v>
      </c>
      <c r="W19" s="23">
        <f t="shared" si="5"/>
        <v>1300</v>
      </c>
      <c r="X19" s="24"/>
    </row>
    <row r="20" spans="1:24">
      <c r="A20" s="11" t="s">
        <v>0</v>
      </c>
      <c r="B20" s="12" t="s">
        <v>28</v>
      </c>
      <c r="C20" s="12">
        <v>2024</v>
      </c>
      <c r="D20" s="13" t="s">
        <v>181</v>
      </c>
      <c r="E20" s="84" t="s">
        <v>182</v>
      </c>
      <c r="F20" s="14" t="s">
        <v>43</v>
      </c>
      <c r="G20" s="15">
        <v>45595</v>
      </c>
      <c r="H20" s="25" t="s">
        <v>44</v>
      </c>
      <c r="I20" s="17">
        <v>900</v>
      </c>
      <c r="J20" s="18">
        <f t="shared" si="0"/>
        <v>11700</v>
      </c>
      <c r="K20" s="19">
        <f t="shared" ref="K20" si="6">SUM(M20:U20)</f>
        <v>9000</v>
      </c>
      <c r="L20" s="20">
        <f t="shared" si="2"/>
        <v>2700</v>
      </c>
      <c r="M20" s="21">
        <v>1800</v>
      </c>
      <c r="N20" s="22">
        <v>900</v>
      </c>
      <c r="O20" s="22">
        <v>900</v>
      </c>
      <c r="P20" s="22">
        <f>$I20</f>
        <v>900</v>
      </c>
      <c r="Q20" s="22">
        <f t="shared" si="5"/>
        <v>900</v>
      </c>
      <c r="R20" s="22">
        <f t="shared" si="5"/>
        <v>900</v>
      </c>
      <c r="S20" s="22">
        <f t="shared" si="5"/>
        <v>900</v>
      </c>
      <c r="T20" s="22">
        <v>1000</v>
      </c>
      <c r="U20" s="22">
        <v>800</v>
      </c>
      <c r="V20" s="29">
        <f t="shared" si="5"/>
        <v>900</v>
      </c>
      <c r="W20" s="23">
        <f t="shared" si="5"/>
        <v>900</v>
      </c>
      <c r="X20" s="23">
        <f>$I20</f>
        <v>900</v>
      </c>
    </row>
    <row r="21" spans="1:24">
      <c r="A21" s="11" t="s">
        <v>0</v>
      </c>
      <c r="B21" s="12" t="s">
        <v>28</v>
      </c>
      <c r="C21" s="12">
        <v>2024</v>
      </c>
      <c r="D21" s="13" t="s">
        <v>183</v>
      </c>
      <c r="E21" s="84" t="s">
        <v>184</v>
      </c>
      <c r="F21" s="14" t="s">
        <v>45</v>
      </c>
      <c r="G21" s="15">
        <v>45566</v>
      </c>
      <c r="H21" s="16"/>
      <c r="I21" s="17">
        <v>1000</v>
      </c>
      <c r="J21" s="18">
        <f t="shared" si="0"/>
        <v>13000</v>
      </c>
      <c r="K21" s="19">
        <f>SUM(M21:V21)</f>
        <v>11000</v>
      </c>
      <c r="L21" s="20">
        <f t="shared" si="2"/>
        <v>2000</v>
      </c>
      <c r="M21" s="21">
        <v>2000</v>
      </c>
      <c r="N21" s="22">
        <v>1000</v>
      </c>
      <c r="O21" s="22">
        <v>1000</v>
      </c>
      <c r="P21" s="22">
        <f>$I21</f>
        <v>1000</v>
      </c>
      <c r="Q21" s="22">
        <f t="shared" si="5"/>
        <v>1000</v>
      </c>
      <c r="R21" s="22">
        <f t="shared" si="5"/>
        <v>1000</v>
      </c>
      <c r="S21" s="22">
        <f t="shared" si="5"/>
        <v>1000</v>
      </c>
      <c r="T21" s="22">
        <f t="shared" si="5"/>
        <v>1000</v>
      </c>
      <c r="U21" s="22">
        <f t="shared" si="5"/>
        <v>1000</v>
      </c>
      <c r="V21" s="22">
        <f t="shared" si="5"/>
        <v>1000</v>
      </c>
      <c r="W21" s="23">
        <f t="shared" si="5"/>
        <v>1000</v>
      </c>
      <c r="X21" s="23">
        <f>$I21</f>
        <v>1000</v>
      </c>
    </row>
    <row r="22" spans="1:24">
      <c r="A22" s="11" t="s">
        <v>0</v>
      </c>
      <c r="B22" s="30" t="s">
        <v>20</v>
      </c>
      <c r="C22" s="30">
        <v>2024</v>
      </c>
      <c r="D22" s="13" t="s">
        <v>185</v>
      </c>
      <c r="E22" s="84" t="s">
        <v>186</v>
      </c>
      <c r="F22" s="14" t="s">
        <v>46</v>
      </c>
      <c r="G22" s="15">
        <v>45502</v>
      </c>
      <c r="H22" s="16"/>
      <c r="I22" s="17">
        <v>1063.6363636363601</v>
      </c>
      <c r="J22" s="18">
        <f t="shared" si="0"/>
        <v>13000</v>
      </c>
      <c r="K22" s="19">
        <f>SUM(M22:T22)</f>
        <v>13000</v>
      </c>
      <c r="L22" s="20">
        <f t="shared" si="2"/>
        <v>0</v>
      </c>
      <c r="M22" s="21">
        <v>11000</v>
      </c>
      <c r="N22" s="22">
        <v>0</v>
      </c>
      <c r="O22" s="22">
        <v>0</v>
      </c>
      <c r="P22" s="22">
        <v>0</v>
      </c>
      <c r="Q22" s="22">
        <v>1800</v>
      </c>
      <c r="R22" s="22">
        <v>0</v>
      </c>
      <c r="S22" s="22">
        <v>0</v>
      </c>
      <c r="T22" s="22">
        <v>200</v>
      </c>
      <c r="U22" s="22">
        <v>0</v>
      </c>
      <c r="V22" s="22">
        <v>0</v>
      </c>
      <c r="W22" s="22">
        <v>0</v>
      </c>
      <c r="X22" s="24"/>
    </row>
    <row r="23" spans="1:24">
      <c r="A23" s="11" t="s">
        <v>0</v>
      </c>
      <c r="B23" s="12" t="s">
        <v>28</v>
      </c>
      <c r="C23" s="12">
        <v>2024</v>
      </c>
      <c r="D23" s="13" t="s">
        <v>187</v>
      </c>
      <c r="E23" s="84" t="s">
        <v>188</v>
      </c>
      <c r="F23" s="14" t="s">
        <v>47</v>
      </c>
      <c r="G23" s="15">
        <v>45538</v>
      </c>
      <c r="H23" s="16"/>
      <c r="I23" s="17">
        <v>1000</v>
      </c>
      <c r="J23" s="18">
        <f t="shared" si="0"/>
        <v>13000</v>
      </c>
      <c r="K23" s="19">
        <f t="shared" ref="K23:K29" si="7">SUM(M23:V23)</f>
        <v>11000</v>
      </c>
      <c r="L23" s="20">
        <f t="shared" si="2"/>
        <v>2000</v>
      </c>
      <c r="M23" s="21">
        <v>2000</v>
      </c>
      <c r="N23" s="22">
        <v>1000</v>
      </c>
      <c r="O23" s="22">
        <v>1000</v>
      </c>
      <c r="P23" s="22">
        <f t="shared" ref="P23:X32" si="8">$I23</f>
        <v>1000</v>
      </c>
      <c r="Q23" s="22">
        <f t="shared" si="8"/>
        <v>1000</v>
      </c>
      <c r="R23" s="22">
        <f t="shared" si="8"/>
        <v>1000</v>
      </c>
      <c r="S23" s="22">
        <f t="shared" si="8"/>
        <v>1000</v>
      </c>
      <c r="T23" s="22">
        <f t="shared" si="8"/>
        <v>1000</v>
      </c>
      <c r="U23" s="22">
        <f t="shared" si="8"/>
        <v>1000</v>
      </c>
      <c r="V23" s="22">
        <f t="shared" si="8"/>
        <v>1000</v>
      </c>
      <c r="W23" s="23">
        <f t="shared" si="8"/>
        <v>1000</v>
      </c>
      <c r="X23" s="23">
        <f t="shared" si="8"/>
        <v>1000</v>
      </c>
    </row>
    <row r="24" spans="1:24">
      <c r="A24" s="11" t="s">
        <v>0</v>
      </c>
      <c r="B24" s="30" t="s">
        <v>20</v>
      </c>
      <c r="C24" s="30">
        <v>2024</v>
      </c>
      <c r="D24" s="13" t="s">
        <v>189</v>
      </c>
      <c r="E24" s="84" t="s">
        <v>190</v>
      </c>
      <c r="F24" s="14" t="s">
        <v>48</v>
      </c>
      <c r="G24" s="15">
        <v>45595</v>
      </c>
      <c r="H24" s="16"/>
      <c r="I24" s="17">
        <v>1200</v>
      </c>
      <c r="J24" s="18">
        <f t="shared" si="0"/>
        <v>13700</v>
      </c>
      <c r="K24" s="19">
        <f t="shared" si="7"/>
        <v>13000</v>
      </c>
      <c r="L24" s="20">
        <f t="shared" si="2"/>
        <v>700</v>
      </c>
      <c r="M24" s="21">
        <v>1700</v>
      </c>
      <c r="N24" s="22">
        <v>1200</v>
      </c>
      <c r="O24" s="22">
        <v>1200</v>
      </c>
      <c r="P24" s="22">
        <f t="shared" si="8"/>
        <v>1200</v>
      </c>
      <c r="Q24" s="22">
        <v>1700</v>
      </c>
      <c r="R24" s="22">
        <f>$I24-500</f>
        <v>700</v>
      </c>
      <c r="S24" s="22">
        <f t="shared" si="8"/>
        <v>1200</v>
      </c>
      <c r="T24" s="22">
        <v>1700</v>
      </c>
      <c r="U24" s="22">
        <v>1200</v>
      </c>
      <c r="V24" s="22">
        <v>1200</v>
      </c>
      <c r="W24" s="23">
        <v>700</v>
      </c>
      <c r="X24" s="24"/>
    </row>
    <row r="25" spans="1:24">
      <c r="A25" s="11" t="s">
        <v>0</v>
      </c>
      <c r="B25" s="30" t="s">
        <v>20</v>
      </c>
      <c r="C25" s="30">
        <v>2024</v>
      </c>
      <c r="D25" s="13" t="s">
        <v>191</v>
      </c>
      <c r="E25" s="84" t="s">
        <v>192</v>
      </c>
      <c r="F25" s="14" t="s">
        <v>49</v>
      </c>
      <c r="G25" s="15">
        <v>45546</v>
      </c>
      <c r="H25" s="16"/>
      <c r="I25" s="17">
        <v>1100</v>
      </c>
      <c r="J25" s="18">
        <f t="shared" si="0"/>
        <v>13100</v>
      </c>
      <c r="K25" s="19">
        <f t="shared" si="7"/>
        <v>12000</v>
      </c>
      <c r="L25" s="20">
        <f t="shared" si="2"/>
        <v>1100</v>
      </c>
      <c r="M25" s="21">
        <v>2100</v>
      </c>
      <c r="N25" s="22">
        <v>1100</v>
      </c>
      <c r="O25" s="22">
        <v>1100</v>
      </c>
      <c r="P25" s="22">
        <f t="shared" si="8"/>
        <v>1100</v>
      </c>
      <c r="Q25" s="22">
        <f t="shared" si="8"/>
        <v>1100</v>
      </c>
      <c r="R25" s="22">
        <f t="shared" si="8"/>
        <v>1100</v>
      </c>
      <c r="S25" s="22">
        <f t="shared" si="8"/>
        <v>1100</v>
      </c>
      <c r="T25" s="22">
        <f t="shared" si="8"/>
        <v>1100</v>
      </c>
      <c r="U25" s="22">
        <f t="shared" si="8"/>
        <v>1100</v>
      </c>
      <c r="V25" s="22">
        <f t="shared" si="8"/>
        <v>1100</v>
      </c>
      <c r="W25" s="23">
        <f t="shared" si="8"/>
        <v>1100</v>
      </c>
      <c r="X25" s="24"/>
    </row>
    <row r="26" spans="1:24" ht="14.5" thickBot="1">
      <c r="A26" s="11" t="s">
        <v>0</v>
      </c>
      <c r="B26" s="35" t="s">
        <v>20</v>
      </c>
      <c r="C26" s="30">
        <v>2024</v>
      </c>
      <c r="D26" s="13" t="s">
        <v>193</v>
      </c>
      <c r="E26" s="84" t="s">
        <v>194</v>
      </c>
      <c r="F26" s="14" t="s">
        <v>50</v>
      </c>
      <c r="G26" s="15">
        <v>45502</v>
      </c>
      <c r="H26" s="16"/>
      <c r="I26" s="17">
        <v>1000</v>
      </c>
      <c r="J26" s="36">
        <f t="shared" si="0"/>
        <v>11500</v>
      </c>
      <c r="K26" s="19">
        <f t="shared" si="7"/>
        <v>11000</v>
      </c>
      <c r="L26" s="20">
        <f t="shared" si="2"/>
        <v>500</v>
      </c>
      <c r="M26" s="21">
        <v>1500</v>
      </c>
      <c r="N26" s="22">
        <v>1000</v>
      </c>
      <c r="O26" s="22">
        <v>1000</v>
      </c>
      <c r="P26" s="22">
        <f t="shared" si="8"/>
        <v>1000</v>
      </c>
      <c r="Q26" s="22">
        <v>1250</v>
      </c>
      <c r="R26" s="22">
        <f>$I26-250</f>
        <v>750</v>
      </c>
      <c r="S26" s="22">
        <f t="shared" si="8"/>
        <v>1000</v>
      </c>
      <c r="T26" s="22">
        <v>1500</v>
      </c>
      <c r="U26" s="22">
        <v>1000</v>
      </c>
      <c r="V26" s="22">
        <v>1000</v>
      </c>
      <c r="W26" s="23">
        <v>500</v>
      </c>
      <c r="X26" s="24"/>
    </row>
    <row r="27" spans="1:24">
      <c r="A27" s="11" t="s">
        <v>0</v>
      </c>
      <c r="B27" s="30" t="s">
        <v>20</v>
      </c>
      <c r="C27" s="30">
        <v>2024</v>
      </c>
      <c r="D27" s="13" t="s">
        <v>195</v>
      </c>
      <c r="E27" s="84" t="s">
        <v>196</v>
      </c>
      <c r="F27" s="14" t="s">
        <v>51</v>
      </c>
      <c r="G27" s="15">
        <v>45622</v>
      </c>
      <c r="H27" s="16"/>
      <c r="I27" s="17">
        <v>1300</v>
      </c>
      <c r="J27" s="18">
        <f t="shared" si="0"/>
        <v>15300</v>
      </c>
      <c r="K27" s="19">
        <f t="shared" si="7"/>
        <v>14000</v>
      </c>
      <c r="L27" s="20">
        <f t="shared" si="2"/>
        <v>1300</v>
      </c>
      <c r="M27" s="21">
        <v>2300</v>
      </c>
      <c r="N27" s="22">
        <v>1300</v>
      </c>
      <c r="O27" s="22">
        <v>1300</v>
      </c>
      <c r="P27" s="22">
        <f t="shared" si="8"/>
        <v>1300</v>
      </c>
      <c r="Q27" s="22">
        <f t="shared" si="8"/>
        <v>1300</v>
      </c>
      <c r="R27" s="22">
        <f t="shared" si="8"/>
        <v>1300</v>
      </c>
      <c r="S27" s="22">
        <f t="shared" si="8"/>
        <v>1300</v>
      </c>
      <c r="T27" s="22">
        <f t="shared" si="8"/>
        <v>1300</v>
      </c>
      <c r="U27" s="22">
        <f t="shared" si="8"/>
        <v>1300</v>
      </c>
      <c r="V27" s="22">
        <f t="shared" si="8"/>
        <v>1300</v>
      </c>
      <c r="W27" s="23">
        <f t="shared" si="8"/>
        <v>1300</v>
      </c>
      <c r="X27" s="24"/>
    </row>
    <row r="28" spans="1:24">
      <c r="A28" s="11" t="s">
        <v>0</v>
      </c>
      <c r="B28" s="12" t="s">
        <v>28</v>
      </c>
      <c r="C28" s="12">
        <v>2024</v>
      </c>
      <c r="D28" s="13" t="s">
        <v>197</v>
      </c>
      <c r="E28" s="84" t="s">
        <v>198</v>
      </c>
      <c r="F28" s="14" t="s">
        <v>52</v>
      </c>
      <c r="G28" s="15">
        <v>45538</v>
      </c>
      <c r="H28" s="16"/>
      <c r="I28" s="17">
        <v>1000</v>
      </c>
      <c r="J28" s="18">
        <f t="shared" si="0"/>
        <v>13000</v>
      </c>
      <c r="K28" s="19">
        <f t="shared" si="7"/>
        <v>11000</v>
      </c>
      <c r="L28" s="20">
        <f t="shared" si="2"/>
        <v>2000</v>
      </c>
      <c r="M28" s="21">
        <v>2000</v>
      </c>
      <c r="N28" s="22">
        <v>1000</v>
      </c>
      <c r="O28" s="22">
        <v>1000</v>
      </c>
      <c r="P28" s="22">
        <f t="shared" si="8"/>
        <v>1000</v>
      </c>
      <c r="Q28" s="22">
        <f t="shared" si="8"/>
        <v>1000</v>
      </c>
      <c r="R28" s="22">
        <f t="shared" si="8"/>
        <v>1000</v>
      </c>
      <c r="S28" s="22">
        <f t="shared" si="8"/>
        <v>1000</v>
      </c>
      <c r="T28" s="22">
        <f t="shared" si="8"/>
        <v>1000</v>
      </c>
      <c r="U28" s="22">
        <f t="shared" si="8"/>
        <v>1000</v>
      </c>
      <c r="V28" s="22">
        <f t="shared" si="8"/>
        <v>1000</v>
      </c>
      <c r="W28" s="23">
        <f t="shared" si="8"/>
        <v>1000</v>
      </c>
      <c r="X28" s="23">
        <f>$I28</f>
        <v>1000</v>
      </c>
    </row>
    <row r="29" spans="1:24">
      <c r="A29" s="37" t="s">
        <v>0</v>
      </c>
      <c r="B29" s="38" t="s">
        <v>28</v>
      </c>
      <c r="C29" s="12">
        <v>2024</v>
      </c>
      <c r="D29" s="13" t="s">
        <v>199</v>
      </c>
      <c r="E29" s="84" t="s">
        <v>200</v>
      </c>
      <c r="F29" s="39" t="s">
        <v>53</v>
      </c>
      <c r="G29" s="15">
        <v>45558</v>
      </c>
      <c r="H29" s="16"/>
      <c r="I29" s="17">
        <v>900</v>
      </c>
      <c r="J29" s="18">
        <f t="shared" si="0"/>
        <v>11800</v>
      </c>
      <c r="K29" s="19">
        <f t="shared" si="7"/>
        <v>10000</v>
      </c>
      <c r="L29" s="20">
        <f t="shared" si="2"/>
        <v>1800</v>
      </c>
      <c r="M29" s="21">
        <v>1900</v>
      </c>
      <c r="N29" s="22">
        <v>900</v>
      </c>
      <c r="O29" s="22">
        <v>900</v>
      </c>
      <c r="P29" s="22">
        <f t="shared" si="8"/>
        <v>900</v>
      </c>
      <c r="Q29" s="22">
        <f t="shared" si="8"/>
        <v>900</v>
      </c>
      <c r="R29" s="22">
        <f t="shared" si="8"/>
        <v>900</v>
      </c>
      <c r="S29" s="22">
        <f t="shared" si="8"/>
        <v>900</v>
      </c>
      <c r="T29" s="22">
        <f t="shared" si="8"/>
        <v>900</v>
      </c>
      <c r="U29" s="22">
        <f t="shared" si="8"/>
        <v>900</v>
      </c>
      <c r="V29" s="22">
        <f t="shared" si="8"/>
        <v>900</v>
      </c>
      <c r="W29" s="23">
        <f t="shared" si="8"/>
        <v>900</v>
      </c>
      <c r="X29" s="23">
        <f>$I29</f>
        <v>900</v>
      </c>
    </row>
    <row r="30" spans="1:24">
      <c r="A30" s="37" t="s">
        <v>0</v>
      </c>
      <c r="B30" s="38" t="s">
        <v>28</v>
      </c>
      <c r="C30" s="12">
        <v>2024</v>
      </c>
      <c r="D30" s="13" t="s">
        <v>201</v>
      </c>
      <c r="E30" s="84" t="s">
        <v>202</v>
      </c>
      <c r="F30" s="39" t="s">
        <v>54</v>
      </c>
      <c r="G30" s="15">
        <v>45567</v>
      </c>
      <c r="H30" s="25" t="s">
        <v>44</v>
      </c>
      <c r="I30" s="17">
        <v>1000</v>
      </c>
      <c r="J30" s="18">
        <f t="shared" si="0"/>
        <v>13000</v>
      </c>
      <c r="K30" s="19">
        <f t="shared" ref="K30" si="9">SUM(M30:U30)</f>
        <v>10000</v>
      </c>
      <c r="L30" s="20">
        <f t="shared" si="2"/>
        <v>3000</v>
      </c>
      <c r="M30" s="21">
        <v>2000</v>
      </c>
      <c r="N30" s="22">
        <v>1000</v>
      </c>
      <c r="O30" s="22">
        <v>1000</v>
      </c>
      <c r="P30" s="22">
        <f t="shared" si="8"/>
        <v>1000</v>
      </c>
      <c r="Q30" s="22">
        <f t="shared" si="8"/>
        <v>1000</v>
      </c>
      <c r="R30" s="22">
        <f t="shared" si="8"/>
        <v>1000</v>
      </c>
      <c r="S30" s="22">
        <f t="shared" si="8"/>
        <v>1000</v>
      </c>
      <c r="T30" s="22">
        <f t="shared" si="8"/>
        <v>1000</v>
      </c>
      <c r="U30" s="22">
        <f t="shared" si="8"/>
        <v>1000</v>
      </c>
      <c r="V30" s="29">
        <f t="shared" si="8"/>
        <v>1000</v>
      </c>
      <c r="W30" s="23">
        <f t="shared" si="8"/>
        <v>1000</v>
      </c>
      <c r="X30" s="23">
        <f>$I30</f>
        <v>1000</v>
      </c>
    </row>
    <row r="31" spans="1:24">
      <c r="A31" s="37" t="s">
        <v>0</v>
      </c>
      <c r="B31" s="30" t="s">
        <v>20</v>
      </c>
      <c r="C31" s="30">
        <v>2024</v>
      </c>
      <c r="D31" s="13" t="s">
        <v>203</v>
      </c>
      <c r="E31" s="84" t="s">
        <v>204</v>
      </c>
      <c r="F31" s="39" t="s">
        <v>55</v>
      </c>
      <c r="G31" s="15">
        <v>45544</v>
      </c>
      <c r="H31" s="16"/>
      <c r="I31" s="17">
        <v>1000</v>
      </c>
      <c r="J31" s="18">
        <f t="shared" si="0"/>
        <v>12000</v>
      </c>
      <c r="K31" s="19">
        <f>SUM(M31:V31)</f>
        <v>11000</v>
      </c>
      <c r="L31" s="20">
        <f t="shared" si="2"/>
        <v>1000</v>
      </c>
      <c r="M31" s="21">
        <v>2000</v>
      </c>
      <c r="N31" s="22">
        <v>1000</v>
      </c>
      <c r="O31" s="22">
        <v>1000</v>
      </c>
      <c r="P31" s="22">
        <f t="shared" si="8"/>
        <v>1000</v>
      </c>
      <c r="Q31" s="22">
        <f t="shared" si="8"/>
        <v>1000</v>
      </c>
      <c r="R31" s="22">
        <f t="shared" si="8"/>
        <v>1000</v>
      </c>
      <c r="S31" s="22">
        <f t="shared" si="8"/>
        <v>1000</v>
      </c>
      <c r="T31" s="22">
        <f t="shared" si="8"/>
        <v>1000</v>
      </c>
      <c r="U31" s="29">
        <v>0</v>
      </c>
      <c r="V31" s="22">
        <v>2000</v>
      </c>
      <c r="W31" s="23">
        <f t="shared" si="8"/>
        <v>1000</v>
      </c>
      <c r="X31" s="24"/>
    </row>
    <row r="32" spans="1:24">
      <c r="A32" s="37" t="s">
        <v>0</v>
      </c>
      <c r="B32" s="31" t="s">
        <v>28</v>
      </c>
      <c r="C32" s="30">
        <v>2024</v>
      </c>
      <c r="D32" s="13" t="s">
        <v>205</v>
      </c>
      <c r="E32" s="84" t="s">
        <v>206</v>
      </c>
      <c r="F32" s="39" t="s">
        <v>56</v>
      </c>
      <c r="G32" s="15">
        <v>45603</v>
      </c>
      <c r="H32" s="25" t="s">
        <v>44</v>
      </c>
      <c r="I32" s="17">
        <v>1000</v>
      </c>
      <c r="J32" s="18">
        <f t="shared" si="0"/>
        <v>12000</v>
      </c>
      <c r="K32" s="19">
        <f>SUM(M32:U32)</f>
        <v>9400</v>
      </c>
      <c r="L32" s="20">
        <f t="shared" si="2"/>
        <v>2600</v>
      </c>
      <c r="M32" s="21">
        <v>1000</v>
      </c>
      <c r="N32" s="22">
        <v>1000</v>
      </c>
      <c r="O32" s="22">
        <v>1000</v>
      </c>
      <c r="P32" s="22">
        <f t="shared" si="8"/>
        <v>1000</v>
      </c>
      <c r="Q32" s="22">
        <f t="shared" si="8"/>
        <v>1000</v>
      </c>
      <c r="R32" s="22">
        <f t="shared" si="8"/>
        <v>1000</v>
      </c>
      <c r="S32" s="22">
        <f t="shared" si="8"/>
        <v>1000</v>
      </c>
      <c r="T32" s="22">
        <v>1300</v>
      </c>
      <c r="U32" s="22">
        <v>1100</v>
      </c>
      <c r="V32" s="29">
        <v>600</v>
      </c>
      <c r="W32" s="23">
        <f t="shared" si="8"/>
        <v>1000</v>
      </c>
      <c r="X32" s="23">
        <f>$I32</f>
        <v>1000</v>
      </c>
    </row>
    <row r="33" spans="1:24">
      <c r="A33" s="11" t="s">
        <v>0</v>
      </c>
      <c r="B33" s="31" t="s">
        <v>57</v>
      </c>
      <c r="C33" s="31">
        <v>2025</v>
      </c>
      <c r="D33" s="13" t="s">
        <v>207</v>
      </c>
      <c r="E33" s="84" t="s">
        <v>208</v>
      </c>
      <c r="F33" s="39" t="s">
        <v>58</v>
      </c>
      <c r="G33" s="15">
        <v>45932</v>
      </c>
      <c r="H33" s="40"/>
      <c r="I33" s="17">
        <v>900</v>
      </c>
      <c r="J33" s="18">
        <f t="shared" si="0"/>
        <v>11800</v>
      </c>
      <c r="K33" s="19">
        <f t="shared" ref="K33:K34" si="10">SUM(M33:V33)</f>
        <v>9800</v>
      </c>
      <c r="L33" s="20">
        <f t="shared" si="2"/>
        <v>2000</v>
      </c>
      <c r="M33" s="41">
        <f>900+300+500</f>
        <v>1700</v>
      </c>
      <c r="N33" s="22">
        <v>900</v>
      </c>
      <c r="O33" s="22">
        <v>900</v>
      </c>
      <c r="P33" s="22">
        <v>900</v>
      </c>
      <c r="Q33" s="22">
        <v>900</v>
      </c>
      <c r="R33" s="22">
        <v>900</v>
      </c>
      <c r="S33" s="22">
        <v>900</v>
      </c>
      <c r="T33" s="22">
        <v>900</v>
      </c>
      <c r="U33" s="22">
        <v>900</v>
      </c>
      <c r="V33" s="22">
        <v>900</v>
      </c>
      <c r="W33" s="29">
        <v>1100</v>
      </c>
      <c r="X33" s="23">
        <v>900</v>
      </c>
    </row>
    <row r="34" spans="1:24">
      <c r="A34" s="11" t="s">
        <v>0</v>
      </c>
      <c r="B34" s="31" t="s">
        <v>20</v>
      </c>
      <c r="C34" s="31">
        <v>2025</v>
      </c>
      <c r="D34" s="13" t="s">
        <v>209</v>
      </c>
      <c r="E34" s="84" t="s">
        <v>210</v>
      </c>
      <c r="F34" s="42" t="s">
        <v>59</v>
      </c>
      <c r="G34" s="15">
        <v>45908</v>
      </c>
      <c r="H34" s="43"/>
      <c r="I34" s="17">
        <v>1300</v>
      </c>
      <c r="J34" s="18">
        <f t="shared" si="0"/>
        <v>15600</v>
      </c>
      <c r="K34" s="19">
        <f t="shared" si="10"/>
        <v>14300</v>
      </c>
      <c r="L34" s="20">
        <f t="shared" si="2"/>
        <v>1300</v>
      </c>
      <c r="M34" s="41">
        <v>2600</v>
      </c>
      <c r="N34" s="22">
        <v>1300</v>
      </c>
      <c r="O34" s="22">
        <v>1300</v>
      </c>
      <c r="P34" s="22">
        <f t="shared" ref="P34:W34" si="11">$I34</f>
        <v>1300</v>
      </c>
      <c r="Q34" s="22">
        <f t="shared" si="11"/>
        <v>1300</v>
      </c>
      <c r="R34" s="22">
        <f t="shared" si="11"/>
        <v>1300</v>
      </c>
      <c r="S34" s="22">
        <f t="shared" si="11"/>
        <v>1300</v>
      </c>
      <c r="T34" s="22">
        <f t="shared" si="11"/>
        <v>1300</v>
      </c>
      <c r="U34" s="22">
        <f t="shared" si="11"/>
        <v>1300</v>
      </c>
      <c r="V34" s="22">
        <f t="shared" si="11"/>
        <v>1300</v>
      </c>
      <c r="W34" s="23">
        <f t="shared" si="11"/>
        <v>1300</v>
      </c>
      <c r="X34" s="24"/>
    </row>
    <row r="35" spans="1:24">
      <c r="A35" s="11" t="s">
        <v>39</v>
      </c>
      <c r="B35" s="44" t="s">
        <v>57</v>
      </c>
      <c r="C35" s="44">
        <v>2025</v>
      </c>
      <c r="D35" s="13" t="s">
        <v>211</v>
      </c>
      <c r="E35" s="84" t="s">
        <v>212</v>
      </c>
      <c r="F35" s="44" t="s">
        <v>60</v>
      </c>
      <c r="G35" s="15">
        <v>45901</v>
      </c>
      <c r="H35" s="34" t="s">
        <v>41</v>
      </c>
      <c r="I35" s="17">
        <v>0</v>
      </c>
      <c r="J35" s="18">
        <f t="shared" si="0"/>
        <v>1800</v>
      </c>
      <c r="K35" s="19">
        <f>SUM(M35:X35)</f>
        <v>1800</v>
      </c>
      <c r="L35" s="20">
        <f t="shared" si="2"/>
        <v>0</v>
      </c>
      <c r="M35" s="41">
        <v>1800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</row>
    <row r="36" spans="1:24">
      <c r="A36" s="11" t="s">
        <v>0</v>
      </c>
      <c r="B36" s="31" t="s">
        <v>20</v>
      </c>
      <c r="C36" s="31">
        <v>2025</v>
      </c>
      <c r="D36" s="13" t="s">
        <v>213</v>
      </c>
      <c r="E36" s="84" t="s">
        <v>214</v>
      </c>
      <c r="F36" s="42" t="s">
        <v>61</v>
      </c>
      <c r="G36" s="15">
        <v>45826</v>
      </c>
      <c r="H36" s="43"/>
      <c r="I36" s="17">
        <v>1300</v>
      </c>
      <c r="J36" s="18">
        <f t="shared" si="0"/>
        <v>15600</v>
      </c>
      <c r="K36" s="19">
        <f>SUM(M36:V36)</f>
        <v>14300</v>
      </c>
      <c r="L36" s="20">
        <f t="shared" si="2"/>
        <v>1300</v>
      </c>
      <c r="M36" s="41">
        <v>2600</v>
      </c>
      <c r="N36" s="21">
        <v>1300</v>
      </c>
      <c r="O36" s="21">
        <v>1300</v>
      </c>
      <c r="P36" s="21">
        <f t="shared" ref="P36:W36" si="12">$I36</f>
        <v>1300</v>
      </c>
      <c r="Q36" s="21">
        <f t="shared" si="12"/>
        <v>1300</v>
      </c>
      <c r="R36" s="21">
        <f t="shared" si="12"/>
        <v>1300</v>
      </c>
      <c r="S36" s="21">
        <f t="shared" si="12"/>
        <v>1300</v>
      </c>
      <c r="T36" s="21">
        <f t="shared" si="12"/>
        <v>1300</v>
      </c>
      <c r="U36" s="21">
        <f t="shared" si="12"/>
        <v>1300</v>
      </c>
      <c r="V36" s="21">
        <f t="shared" si="12"/>
        <v>1300</v>
      </c>
      <c r="W36" s="45">
        <f t="shared" si="12"/>
        <v>1300</v>
      </c>
      <c r="X36" s="24"/>
    </row>
    <row r="37" spans="1:24">
      <c r="A37" s="11" t="s">
        <v>39</v>
      </c>
      <c r="B37" s="44" t="s">
        <v>20</v>
      </c>
      <c r="C37" s="44">
        <v>2025</v>
      </c>
      <c r="D37" s="13" t="s">
        <v>215</v>
      </c>
      <c r="E37" s="84" t="s">
        <v>216</v>
      </c>
      <c r="F37" s="44" t="s">
        <v>62</v>
      </c>
      <c r="G37" s="15">
        <v>45819</v>
      </c>
      <c r="H37" s="34" t="s">
        <v>41</v>
      </c>
      <c r="I37" s="17">
        <v>0</v>
      </c>
      <c r="J37" s="18">
        <f t="shared" si="0"/>
        <v>0</v>
      </c>
      <c r="K37" s="19">
        <f>SUM(M37:X37)</f>
        <v>0</v>
      </c>
      <c r="L37" s="20">
        <f t="shared" si="2"/>
        <v>0</v>
      </c>
      <c r="M37" s="41">
        <f>1000-1000</f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</row>
    <row r="38" spans="1:24">
      <c r="A38" s="11" t="s">
        <v>0</v>
      </c>
      <c r="B38" s="31" t="s">
        <v>57</v>
      </c>
      <c r="C38" s="31">
        <v>2025</v>
      </c>
      <c r="D38" s="13" t="s">
        <v>217</v>
      </c>
      <c r="E38" s="84" t="s">
        <v>218</v>
      </c>
      <c r="F38" s="39" t="s">
        <v>63</v>
      </c>
      <c r="G38" s="15">
        <v>45973</v>
      </c>
      <c r="H38" s="25" t="s">
        <v>44</v>
      </c>
      <c r="I38" s="17">
        <v>900</v>
      </c>
      <c r="J38" s="18">
        <f t="shared" si="0"/>
        <v>10300</v>
      </c>
      <c r="K38" s="19">
        <f t="shared" ref="K38" si="13">SUM(M38:U38)</f>
        <v>7600</v>
      </c>
      <c r="L38" s="20">
        <f t="shared" si="2"/>
        <v>2700</v>
      </c>
      <c r="M38" s="46"/>
      <c r="N38" s="47"/>
      <c r="O38" s="22">
        <v>1300</v>
      </c>
      <c r="P38" s="22">
        <v>2700</v>
      </c>
      <c r="Q38" s="22">
        <v>900</v>
      </c>
      <c r="R38" s="22">
        <v>0</v>
      </c>
      <c r="S38" s="22">
        <v>900</v>
      </c>
      <c r="T38" s="22">
        <v>900</v>
      </c>
      <c r="U38" s="22">
        <v>900</v>
      </c>
      <c r="V38" s="29">
        <v>900</v>
      </c>
      <c r="W38" s="23">
        <v>900</v>
      </c>
      <c r="X38" s="23">
        <v>900</v>
      </c>
    </row>
    <row r="39" spans="1:24">
      <c r="A39" s="11" t="s">
        <v>0</v>
      </c>
      <c r="B39" s="30" t="s">
        <v>20</v>
      </c>
      <c r="C39" s="31">
        <v>2025</v>
      </c>
      <c r="D39" s="13" t="s">
        <v>219</v>
      </c>
      <c r="E39" s="84" t="s">
        <v>220</v>
      </c>
      <c r="F39" s="42" t="s">
        <v>64</v>
      </c>
      <c r="G39" s="15">
        <v>45911</v>
      </c>
      <c r="H39" s="43"/>
      <c r="I39" s="17">
        <v>1200</v>
      </c>
      <c r="J39" s="18">
        <f t="shared" si="0"/>
        <v>14500</v>
      </c>
      <c r="K39" s="19">
        <f>SUM(M39:V39)</f>
        <v>13300</v>
      </c>
      <c r="L39" s="20">
        <f t="shared" si="2"/>
        <v>1200</v>
      </c>
      <c r="M39" s="41">
        <v>2500</v>
      </c>
      <c r="N39" s="22">
        <v>1200</v>
      </c>
      <c r="O39" s="22">
        <v>1200</v>
      </c>
      <c r="P39" s="22">
        <f t="shared" ref="P39:W39" si="14">$I39</f>
        <v>1200</v>
      </c>
      <c r="Q39" s="22">
        <f t="shared" si="14"/>
        <v>1200</v>
      </c>
      <c r="R39" s="22">
        <f t="shared" si="14"/>
        <v>1200</v>
      </c>
      <c r="S39" s="22">
        <f t="shared" si="14"/>
        <v>1200</v>
      </c>
      <c r="T39" s="22">
        <f t="shared" si="14"/>
        <v>1200</v>
      </c>
      <c r="U39" s="22">
        <f t="shared" si="14"/>
        <v>1200</v>
      </c>
      <c r="V39" s="22">
        <f t="shared" si="14"/>
        <v>1200</v>
      </c>
      <c r="W39" s="23">
        <f t="shared" si="14"/>
        <v>1200</v>
      </c>
      <c r="X39" s="24"/>
    </row>
    <row r="40" spans="1:24">
      <c r="A40" s="11" t="s">
        <v>0</v>
      </c>
      <c r="B40" s="30" t="s">
        <v>20</v>
      </c>
      <c r="C40" s="31">
        <v>2025</v>
      </c>
      <c r="D40" s="13" t="s">
        <v>221</v>
      </c>
      <c r="E40" s="84" t="s">
        <v>222</v>
      </c>
      <c r="F40" s="42" t="s">
        <v>65</v>
      </c>
      <c r="G40" s="15">
        <v>45916</v>
      </c>
      <c r="H40" s="43"/>
      <c r="I40" s="17">
        <v>1300</v>
      </c>
      <c r="J40" s="18">
        <f t="shared" si="0"/>
        <v>13000</v>
      </c>
      <c r="K40" s="19">
        <f>+SUM(M40:O40)</f>
        <v>13000</v>
      </c>
      <c r="L40" s="20">
        <f t="shared" si="2"/>
        <v>0</v>
      </c>
      <c r="M40" s="41">
        <v>13000</v>
      </c>
      <c r="N40" s="48">
        <v>0</v>
      </c>
      <c r="O40" s="48">
        <v>0</v>
      </c>
      <c r="P40" s="48">
        <v>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0</v>
      </c>
      <c r="X40" s="24"/>
    </row>
    <row r="41" spans="1:24">
      <c r="A41" s="11" t="s">
        <v>0</v>
      </c>
      <c r="B41" s="30" t="s">
        <v>20</v>
      </c>
      <c r="C41" s="31">
        <v>2025</v>
      </c>
      <c r="D41" s="13" t="s">
        <v>223</v>
      </c>
      <c r="E41" s="84" t="s">
        <v>224</v>
      </c>
      <c r="F41" s="42" t="s">
        <v>66</v>
      </c>
      <c r="G41" s="15">
        <v>45833</v>
      </c>
      <c r="H41" s="43"/>
      <c r="I41" s="17">
        <v>1300</v>
      </c>
      <c r="J41" s="18">
        <f t="shared" si="0"/>
        <v>15600</v>
      </c>
      <c r="K41" s="19">
        <f>SUM(M41:V41)</f>
        <v>14300</v>
      </c>
      <c r="L41" s="20">
        <f t="shared" si="2"/>
        <v>1300</v>
      </c>
      <c r="M41" s="41">
        <v>2600</v>
      </c>
      <c r="N41" s="22">
        <v>1300</v>
      </c>
      <c r="O41" s="22">
        <v>1300</v>
      </c>
      <c r="P41" s="22">
        <f t="shared" ref="P41:W41" si="15">$I41</f>
        <v>1300</v>
      </c>
      <c r="Q41" s="22">
        <f t="shared" si="15"/>
        <v>1300</v>
      </c>
      <c r="R41" s="22">
        <f t="shared" si="15"/>
        <v>1300</v>
      </c>
      <c r="S41" s="22">
        <f t="shared" si="15"/>
        <v>1300</v>
      </c>
      <c r="T41" s="22">
        <f t="shared" si="15"/>
        <v>1300</v>
      </c>
      <c r="U41" s="22">
        <f t="shared" si="15"/>
        <v>1300</v>
      </c>
      <c r="V41" s="22">
        <f t="shared" si="15"/>
        <v>1300</v>
      </c>
      <c r="W41" s="23">
        <f t="shared" si="15"/>
        <v>1300</v>
      </c>
      <c r="X41" s="24"/>
    </row>
    <row r="42" spans="1:24">
      <c r="A42" s="11" t="s">
        <v>0</v>
      </c>
      <c r="B42" s="30" t="s">
        <v>67</v>
      </c>
      <c r="C42" s="31">
        <v>2025</v>
      </c>
      <c r="D42" s="13" t="s">
        <v>225</v>
      </c>
      <c r="E42" s="84" t="s">
        <v>226</v>
      </c>
      <c r="F42" s="15" t="s">
        <v>68</v>
      </c>
      <c r="G42" s="15">
        <v>45931</v>
      </c>
      <c r="H42" s="40" t="s">
        <v>69</v>
      </c>
      <c r="I42" s="17">
        <v>0</v>
      </c>
      <c r="J42" s="18">
        <f t="shared" si="0"/>
        <v>0</v>
      </c>
      <c r="K42" s="19">
        <f>+SUM(M42:O42)</f>
        <v>0</v>
      </c>
      <c r="L42" s="20">
        <f t="shared" si="2"/>
        <v>0</v>
      </c>
      <c r="M42" s="49"/>
      <c r="N42" s="48">
        <v>0</v>
      </c>
      <c r="O42" s="48">
        <v>0</v>
      </c>
      <c r="P42" s="48">
        <v>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v>0</v>
      </c>
    </row>
    <row r="43" spans="1:24">
      <c r="A43" s="11" t="s">
        <v>39</v>
      </c>
      <c r="B43" s="32" t="s">
        <v>28</v>
      </c>
      <c r="C43" s="44">
        <v>2025</v>
      </c>
      <c r="D43" s="13" t="s">
        <v>227</v>
      </c>
      <c r="E43" s="84" t="s">
        <v>228</v>
      </c>
      <c r="F43" s="50" t="s">
        <v>70</v>
      </c>
      <c r="G43" s="15">
        <v>45938</v>
      </c>
      <c r="H43" s="34" t="s">
        <v>41</v>
      </c>
      <c r="I43" s="17">
        <v>1100</v>
      </c>
      <c r="J43" s="18">
        <f t="shared" si="0"/>
        <v>3500</v>
      </c>
      <c r="K43" s="19">
        <f>SUM(M43:X43)</f>
        <v>3500</v>
      </c>
      <c r="L43" s="20">
        <f t="shared" si="2"/>
        <v>0</v>
      </c>
      <c r="M43" s="41">
        <v>1300</v>
      </c>
      <c r="N43" s="22">
        <v>1100</v>
      </c>
      <c r="O43" s="22">
        <v>1100</v>
      </c>
      <c r="P43" s="24"/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</row>
    <row r="44" spans="1:24">
      <c r="A44" s="11" t="s">
        <v>0</v>
      </c>
      <c r="B44" s="31" t="s">
        <v>20</v>
      </c>
      <c r="C44" s="31">
        <v>2025</v>
      </c>
      <c r="D44" s="13" t="s">
        <v>229</v>
      </c>
      <c r="E44" s="84" t="s">
        <v>230</v>
      </c>
      <c r="F44" s="42" t="s">
        <v>71</v>
      </c>
      <c r="G44" s="15">
        <v>45911</v>
      </c>
      <c r="H44" s="43"/>
      <c r="I44" s="17">
        <v>1300</v>
      </c>
      <c r="J44" s="18">
        <f t="shared" si="0"/>
        <v>13000</v>
      </c>
      <c r="K44" s="19">
        <f>+SUM(M44:O44)</f>
        <v>13000</v>
      </c>
      <c r="L44" s="20">
        <f t="shared" si="2"/>
        <v>0</v>
      </c>
      <c r="M44" s="41">
        <v>1300</v>
      </c>
      <c r="N44" s="22">
        <v>11700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4"/>
    </row>
    <row r="45" spans="1:24">
      <c r="A45" s="11" t="s">
        <v>0</v>
      </c>
      <c r="B45" s="31" t="s">
        <v>28</v>
      </c>
      <c r="C45" s="31">
        <v>2025</v>
      </c>
      <c r="D45" s="13" t="s">
        <v>231</v>
      </c>
      <c r="E45" s="84" t="s">
        <v>232</v>
      </c>
      <c r="F45" s="42" t="s">
        <v>72</v>
      </c>
      <c r="G45" s="15">
        <v>45897</v>
      </c>
      <c r="H45" s="43"/>
      <c r="I45" s="17">
        <v>1100</v>
      </c>
      <c r="J45" s="18">
        <f t="shared" si="0"/>
        <v>14500</v>
      </c>
      <c r="K45" s="19">
        <f>SUM(M45:V45)</f>
        <v>12300</v>
      </c>
      <c r="L45" s="20">
        <f t="shared" si="2"/>
        <v>2200</v>
      </c>
      <c r="M45" s="41">
        <v>2400</v>
      </c>
      <c r="N45" s="22">
        <v>1100</v>
      </c>
      <c r="O45" s="22">
        <v>1100</v>
      </c>
      <c r="P45" s="22">
        <f t="shared" ref="P45:X45" si="16">$I45</f>
        <v>1100</v>
      </c>
      <c r="Q45" s="22">
        <f t="shared" si="16"/>
        <v>1100</v>
      </c>
      <c r="R45" s="22">
        <f t="shared" si="16"/>
        <v>1100</v>
      </c>
      <c r="S45" s="22">
        <f t="shared" si="16"/>
        <v>1100</v>
      </c>
      <c r="T45" s="22">
        <f t="shared" si="16"/>
        <v>1100</v>
      </c>
      <c r="U45" s="22">
        <f t="shared" si="16"/>
        <v>1100</v>
      </c>
      <c r="V45" s="22">
        <f t="shared" si="16"/>
        <v>1100</v>
      </c>
      <c r="W45" s="23">
        <f t="shared" si="16"/>
        <v>1100</v>
      </c>
      <c r="X45" s="23">
        <f t="shared" si="16"/>
        <v>1100</v>
      </c>
    </row>
    <row r="46" spans="1:24">
      <c r="A46" s="11" t="s">
        <v>0</v>
      </c>
      <c r="B46" s="31" t="s">
        <v>57</v>
      </c>
      <c r="C46" s="31">
        <v>2025</v>
      </c>
      <c r="D46" s="13" t="s">
        <v>233</v>
      </c>
      <c r="E46" s="84" t="s">
        <v>234</v>
      </c>
      <c r="F46" s="42" t="s">
        <v>73</v>
      </c>
      <c r="G46" s="15">
        <v>45933</v>
      </c>
      <c r="H46" s="51" t="s">
        <v>74</v>
      </c>
      <c r="I46" s="17">
        <v>900</v>
      </c>
      <c r="J46" s="18">
        <f t="shared" si="0"/>
        <v>11200</v>
      </c>
      <c r="K46" s="19">
        <f>SUM(M46:U46)</f>
        <v>8500</v>
      </c>
      <c r="L46" s="20">
        <f t="shared" si="2"/>
        <v>2700</v>
      </c>
      <c r="M46" s="41">
        <v>1300</v>
      </c>
      <c r="N46" s="22">
        <v>900</v>
      </c>
      <c r="O46" s="22">
        <v>900</v>
      </c>
      <c r="P46" s="22">
        <v>900</v>
      </c>
      <c r="Q46" s="22">
        <v>900</v>
      </c>
      <c r="R46" s="22">
        <v>900</v>
      </c>
      <c r="S46" s="22">
        <v>900</v>
      </c>
      <c r="T46" s="22">
        <v>900</v>
      </c>
      <c r="U46" s="22">
        <v>900</v>
      </c>
      <c r="V46" s="29">
        <v>900</v>
      </c>
      <c r="W46" s="23">
        <v>900</v>
      </c>
      <c r="X46" s="23">
        <v>900</v>
      </c>
    </row>
    <row r="47" spans="1:24">
      <c r="A47" s="11" t="s">
        <v>0</v>
      </c>
      <c r="B47" s="31" t="s">
        <v>20</v>
      </c>
      <c r="C47" s="31">
        <v>2025</v>
      </c>
      <c r="D47" s="13" t="s">
        <v>235</v>
      </c>
      <c r="E47" s="84" t="s">
        <v>236</v>
      </c>
      <c r="F47" s="42" t="s">
        <v>75</v>
      </c>
      <c r="G47" s="15">
        <v>45909</v>
      </c>
      <c r="H47" s="43"/>
      <c r="I47" s="17">
        <v>1300</v>
      </c>
      <c r="J47" s="18">
        <f t="shared" si="0"/>
        <v>15600</v>
      </c>
      <c r="K47" s="19">
        <f>SUM(M47:V47)</f>
        <v>14300</v>
      </c>
      <c r="L47" s="20">
        <f t="shared" si="2"/>
        <v>1300</v>
      </c>
      <c r="M47" s="41">
        <v>2600</v>
      </c>
      <c r="N47" s="22">
        <v>1300</v>
      </c>
      <c r="O47" s="22">
        <v>1300</v>
      </c>
      <c r="P47" s="22">
        <f t="shared" ref="P47:W47" si="17">$I47</f>
        <v>1300</v>
      </c>
      <c r="Q47" s="22">
        <f t="shared" si="17"/>
        <v>1300</v>
      </c>
      <c r="R47" s="22">
        <f t="shared" si="17"/>
        <v>1300</v>
      </c>
      <c r="S47" s="22">
        <f t="shared" si="17"/>
        <v>1300</v>
      </c>
      <c r="T47" s="22">
        <f t="shared" si="17"/>
        <v>1300</v>
      </c>
      <c r="U47" s="22">
        <f t="shared" si="17"/>
        <v>1300</v>
      </c>
      <c r="V47" s="22">
        <f t="shared" si="17"/>
        <v>1300</v>
      </c>
      <c r="W47" s="23">
        <f t="shared" si="17"/>
        <v>1300</v>
      </c>
      <c r="X47" s="24"/>
    </row>
    <row r="48" spans="1:24">
      <c r="A48" s="11" t="s">
        <v>39</v>
      </c>
      <c r="B48" s="44" t="s">
        <v>57</v>
      </c>
      <c r="C48" s="44">
        <v>2025</v>
      </c>
      <c r="D48" s="13" t="s">
        <v>237</v>
      </c>
      <c r="E48" s="84" t="s">
        <v>238</v>
      </c>
      <c r="F48" s="44" t="s">
        <v>76</v>
      </c>
      <c r="G48" s="15">
        <v>45924</v>
      </c>
      <c r="H48" s="34" t="s">
        <v>41</v>
      </c>
      <c r="I48" s="17">
        <v>0</v>
      </c>
      <c r="J48" s="18">
        <f t="shared" si="0"/>
        <v>1000</v>
      </c>
      <c r="K48" s="19">
        <f>SUM(M48:X48)</f>
        <v>1000</v>
      </c>
      <c r="L48" s="20">
        <f t="shared" si="2"/>
        <v>0</v>
      </c>
      <c r="M48" s="41">
        <f>1000</f>
        <v>1000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</row>
    <row r="49" spans="1:24">
      <c r="A49" s="11" t="s">
        <v>0</v>
      </c>
      <c r="B49" s="31" t="s">
        <v>57</v>
      </c>
      <c r="C49" s="31">
        <v>2025</v>
      </c>
      <c r="D49" s="13" t="s">
        <v>239</v>
      </c>
      <c r="E49" s="84" t="s">
        <v>240</v>
      </c>
      <c r="F49" s="42" t="s">
        <v>77</v>
      </c>
      <c r="G49" s="15">
        <v>45937</v>
      </c>
      <c r="H49" s="40"/>
      <c r="I49" s="17">
        <v>900</v>
      </c>
      <c r="J49" s="18">
        <f t="shared" si="0"/>
        <v>11200</v>
      </c>
      <c r="K49" s="19">
        <f>SUM(M49:V49)</f>
        <v>9400</v>
      </c>
      <c r="L49" s="20">
        <f t="shared" si="2"/>
        <v>1800</v>
      </c>
      <c r="M49" s="41">
        <f>1000+300</f>
        <v>1300</v>
      </c>
      <c r="N49" s="22">
        <v>900</v>
      </c>
      <c r="O49" s="22">
        <v>900</v>
      </c>
      <c r="P49" s="22">
        <v>900</v>
      </c>
      <c r="Q49" s="22">
        <v>900</v>
      </c>
      <c r="R49" s="22">
        <v>900</v>
      </c>
      <c r="S49" s="22">
        <v>900</v>
      </c>
      <c r="T49" s="22">
        <v>900</v>
      </c>
      <c r="U49" s="22">
        <v>900</v>
      </c>
      <c r="V49" s="22">
        <v>900</v>
      </c>
      <c r="W49" s="23">
        <v>900</v>
      </c>
      <c r="X49" s="23">
        <v>900</v>
      </c>
    </row>
    <row r="50" spans="1:24">
      <c r="A50" s="11" t="s">
        <v>0</v>
      </c>
      <c r="B50" s="31" t="s">
        <v>28</v>
      </c>
      <c r="C50" s="31">
        <v>2025</v>
      </c>
      <c r="D50" s="13" t="s">
        <v>241</v>
      </c>
      <c r="E50" s="84" t="s">
        <v>242</v>
      </c>
      <c r="F50" s="42" t="s">
        <v>78</v>
      </c>
      <c r="G50" s="15">
        <v>45904</v>
      </c>
      <c r="H50" s="43"/>
      <c r="I50" s="17">
        <v>1100</v>
      </c>
      <c r="J50" s="18">
        <f t="shared" si="0"/>
        <v>14500</v>
      </c>
      <c r="K50" s="19">
        <f>SUM(M50:V50)</f>
        <v>12300</v>
      </c>
      <c r="L50" s="20">
        <f t="shared" si="2"/>
        <v>2200</v>
      </c>
      <c r="M50" s="41">
        <v>2400</v>
      </c>
      <c r="N50" s="22">
        <v>1100</v>
      </c>
      <c r="O50" s="22">
        <v>2200</v>
      </c>
      <c r="P50" s="22">
        <v>1100</v>
      </c>
      <c r="Q50" s="22">
        <v>0</v>
      </c>
      <c r="R50" s="22">
        <f t="shared" ref="R50:X50" si="18">$I50</f>
        <v>1100</v>
      </c>
      <c r="S50" s="22">
        <f t="shared" si="18"/>
        <v>1100</v>
      </c>
      <c r="T50" s="22">
        <f t="shared" si="18"/>
        <v>1100</v>
      </c>
      <c r="U50" s="22">
        <f t="shared" si="18"/>
        <v>1100</v>
      </c>
      <c r="V50" s="22">
        <f t="shared" si="18"/>
        <v>1100</v>
      </c>
      <c r="W50" s="23">
        <f t="shared" si="18"/>
        <v>1100</v>
      </c>
      <c r="X50" s="23">
        <f t="shared" si="18"/>
        <v>1100</v>
      </c>
    </row>
    <row r="51" spans="1:24">
      <c r="A51" s="11" t="s">
        <v>0</v>
      </c>
      <c r="B51" s="30" t="s">
        <v>57</v>
      </c>
      <c r="C51" s="31">
        <v>2025</v>
      </c>
      <c r="D51" s="13" t="s">
        <v>243</v>
      </c>
      <c r="E51" s="84" t="s">
        <v>244</v>
      </c>
      <c r="F51" s="42" t="s">
        <v>79</v>
      </c>
      <c r="G51" s="15">
        <v>45888</v>
      </c>
      <c r="H51" s="43"/>
      <c r="I51" s="17">
        <v>800</v>
      </c>
      <c r="J51" s="18">
        <f t="shared" si="0"/>
        <v>10900</v>
      </c>
      <c r="K51" s="19">
        <f>SUM(M51:V51)</f>
        <v>9300</v>
      </c>
      <c r="L51" s="20">
        <f t="shared" si="2"/>
        <v>1600</v>
      </c>
      <c r="M51" s="41">
        <f>1000+800+300</f>
        <v>2100</v>
      </c>
      <c r="N51" s="48">
        <v>800</v>
      </c>
      <c r="O51" s="52">
        <v>800</v>
      </c>
      <c r="P51" s="53">
        <v>800</v>
      </c>
      <c r="Q51" s="53">
        <v>800</v>
      </c>
      <c r="R51" s="53">
        <v>800</v>
      </c>
      <c r="S51" s="53">
        <v>800</v>
      </c>
      <c r="T51" s="53">
        <v>800</v>
      </c>
      <c r="U51" s="53">
        <v>1100</v>
      </c>
      <c r="V51" s="53">
        <v>500</v>
      </c>
      <c r="W51" s="54">
        <v>800</v>
      </c>
      <c r="X51" s="54">
        <v>800</v>
      </c>
    </row>
    <row r="52" spans="1:24">
      <c r="A52" s="11" t="s">
        <v>0</v>
      </c>
      <c r="B52" s="30" t="s">
        <v>20</v>
      </c>
      <c r="C52" s="31">
        <v>2025</v>
      </c>
      <c r="D52" s="13" t="s">
        <v>245</v>
      </c>
      <c r="E52" s="84" t="s">
        <v>246</v>
      </c>
      <c r="F52" s="42" t="s">
        <v>80</v>
      </c>
      <c r="G52" s="15">
        <v>45910</v>
      </c>
      <c r="H52" s="43"/>
      <c r="I52" s="17">
        <v>1300</v>
      </c>
      <c r="J52" s="18">
        <f t="shared" si="0"/>
        <v>13000</v>
      </c>
      <c r="K52" s="19">
        <f>+SUM(M52:O52)</f>
        <v>13000</v>
      </c>
      <c r="L52" s="20">
        <f t="shared" si="2"/>
        <v>0</v>
      </c>
      <c r="M52" s="41">
        <v>0</v>
      </c>
      <c r="N52" s="22">
        <v>13000</v>
      </c>
      <c r="O52" s="53">
        <v>0</v>
      </c>
      <c r="P52" s="53">
        <v>0</v>
      </c>
      <c r="Q52" s="53">
        <v>0</v>
      </c>
      <c r="R52" s="53">
        <v>0</v>
      </c>
      <c r="S52" s="53">
        <v>0</v>
      </c>
      <c r="T52" s="53">
        <v>0</v>
      </c>
      <c r="U52" s="53">
        <v>0</v>
      </c>
      <c r="V52" s="53">
        <v>0</v>
      </c>
      <c r="W52" s="55">
        <v>0</v>
      </c>
      <c r="X52" s="56"/>
    </row>
    <row r="53" spans="1:24">
      <c r="A53" s="11" t="s">
        <v>0</v>
      </c>
      <c r="B53" s="30" t="s">
        <v>57</v>
      </c>
      <c r="C53" s="31">
        <v>2025</v>
      </c>
      <c r="D53" s="13" t="s">
        <v>247</v>
      </c>
      <c r="E53" s="84" t="s">
        <v>248</v>
      </c>
      <c r="F53" s="42" t="s">
        <v>81</v>
      </c>
      <c r="G53" s="15">
        <v>45915</v>
      </c>
      <c r="H53" s="43"/>
      <c r="I53" s="17">
        <v>900</v>
      </c>
      <c r="J53" s="18">
        <f t="shared" si="0"/>
        <v>12100</v>
      </c>
      <c r="K53" s="19">
        <f>SUM(M53:V53)</f>
        <v>10300</v>
      </c>
      <c r="L53" s="20">
        <f t="shared" si="2"/>
        <v>1800</v>
      </c>
      <c r="M53" s="41">
        <f>900+1000+300</f>
        <v>2200</v>
      </c>
      <c r="N53" s="22">
        <v>900</v>
      </c>
      <c r="O53" s="22">
        <v>900</v>
      </c>
      <c r="P53" s="22">
        <v>900</v>
      </c>
      <c r="Q53" s="22">
        <v>900</v>
      </c>
      <c r="R53" s="22">
        <v>900</v>
      </c>
      <c r="S53" s="22">
        <v>900</v>
      </c>
      <c r="T53" s="22">
        <v>900</v>
      </c>
      <c r="U53" s="22">
        <v>900</v>
      </c>
      <c r="V53" s="22">
        <v>900</v>
      </c>
      <c r="W53" s="23">
        <v>900</v>
      </c>
      <c r="X53" s="23">
        <v>900</v>
      </c>
    </row>
    <row r="54" spans="1:24">
      <c r="A54" s="11" t="s">
        <v>0</v>
      </c>
      <c r="B54" s="31" t="s">
        <v>20</v>
      </c>
      <c r="C54" s="31">
        <v>2025</v>
      </c>
      <c r="D54" s="13" t="s">
        <v>249</v>
      </c>
      <c r="E54" s="84" t="s">
        <v>250</v>
      </c>
      <c r="F54" s="42" t="s">
        <v>82</v>
      </c>
      <c r="G54" s="15">
        <v>45971</v>
      </c>
      <c r="H54" s="40"/>
      <c r="I54" s="17">
        <v>1300</v>
      </c>
      <c r="J54" s="18">
        <f t="shared" si="0"/>
        <v>14300</v>
      </c>
      <c r="K54" s="19">
        <f t="shared" ref="K54" si="19">SUM(M54:V54)</f>
        <v>13000</v>
      </c>
      <c r="L54" s="20">
        <f t="shared" si="2"/>
        <v>1300</v>
      </c>
      <c r="M54" s="41">
        <v>1300</v>
      </c>
      <c r="N54" s="22">
        <v>1300</v>
      </c>
      <c r="O54" s="22">
        <v>1300</v>
      </c>
      <c r="P54" s="48">
        <v>1300</v>
      </c>
      <c r="Q54" s="52">
        <v>1300</v>
      </c>
      <c r="R54" s="52">
        <v>1300</v>
      </c>
      <c r="S54" s="52">
        <v>1300</v>
      </c>
      <c r="T54" s="52">
        <v>1300</v>
      </c>
      <c r="U54" s="52">
        <v>1300</v>
      </c>
      <c r="V54" s="52">
        <v>1300</v>
      </c>
      <c r="W54" s="57">
        <v>1300</v>
      </c>
      <c r="X54" s="56"/>
    </row>
    <row r="55" spans="1:24">
      <c r="A55" s="11" t="s">
        <v>39</v>
      </c>
      <c r="B55" s="32" t="s">
        <v>28</v>
      </c>
      <c r="C55" s="44">
        <v>2025</v>
      </c>
      <c r="D55" s="13" t="s">
        <v>251</v>
      </c>
      <c r="E55" s="84" t="s">
        <v>252</v>
      </c>
      <c r="F55" s="50" t="s">
        <v>83</v>
      </c>
      <c r="G55" s="15">
        <v>45877</v>
      </c>
      <c r="H55" s="34" t="s">
        <v>41</v>
      </c>
      <c r="I55" s="17">
        <v>1100</v>
      </c>
      <c r="J55" s="18">
        <f t="shared" si="0"/>
        <v>2100</v>
      </c>
      <c r="K55" s="19">
        <f>SUM(M55:X55)</f>
        <v>2100</v>
      </c>
      <c r="L55" s="20">
        <f t="shared" si="2"/>
        <v>0</v>
      </c>
      <c r="M55" s="41">
        <v>2100</v>
      </c>
      <c r="N55" s="56"/>
      <c r="O55" s="56"/>
      <c r="P55" s="56"/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</row>
    <row r="56" spans="1:24">
      <c r="A56" s="11" t="s">
        <v>0</v>
      </c>
      <c r="B56" s="31" t="s">
        <v>28</v>
      </c>
      <c r="C56" s="31">
        <v>2025</v>
      </c>
      <c r="D56" s="13" t="s">
        <v>253</v>
      </c>
      <c r="E56" s="84" t="s">
        <v>254</v>
      </c>
      <c r="F56" s="59" t="s">
        <v>84</v>
      </c>
      <c r="G56" s="15">
        <v>45985</v>
      </c>
      <c r="H56" s="40"/>
      <c r="I56" s="17">
        <v>1100</v>
      </c>
      <c r="J56" s="18">
        <f t="shared" si="0"/>
        <v>12400</v>
      </c>
      <c r="K56" s="19">
        <f>SUM(M56:V56)</f>
        <v>10200</v>
      </c>
      <c r="L56" s="20">
        <f t="shared" si="2"/>
        <v>2200</v>
      </c>
      <c r="M56" s="49"/>
      <c r="N56" s="48">
        <v>0</v>
      </c>
      <c r="O56" s="48">
        <v>3600</v>
      </c>
      <c r="P56" s="22">
        <v>0</v>
      </c>
      <c r="Q56" s="22">
        <f t="shared" ref="Q56:X56" si="20">$I56</f>
        <v>1100</v>
      </c>
      <c r="R56" s="22">
        <f t="shared" si="20"/>
        <v>1100</v>
      </c>
      <c r="S56" s="22">
        <f t="shared" si="20"/>
        <v>1100</v>
      </c>
      <c r="T56" s="22">
        <f t="shared" si="20"/>
        <v>1100</v>
      </c>
      <c r="U56" s="22">
        <f t="shared" si="20"/>
        <v>1100</v>
      </c>
      <c r="V56" s="22">
        <f t="shared" si="20"/>
        <v>1100</v>
      </c>
      <c r="W56" s="23">
        <f t="shared" si="20"/>
        <v>1100</v>
      </c>
      <c r="X56" s="23">
        <f t="shared" si="20"/>
        <v>1100</v>
      </c>
    </row>
    <row r="57" spans="1:24">
      <c r="A57" s="11" t="s">
        <v>0</v>
      </c>
      <c r="B57" s="30" t="s">
        <v>67</v>
      </c>
      <c r="C57" s="31">
        <v>2025</v>
      </c>
      <c r="D57" s="13" t="s">
        <v>255</v>
      </c>
      <c r="E57" s="84" t="s">
        <v>256</v>
      </c>
      <c r="F57" s="15" t="s">
        <v>85</v>
      </c>
      <c r="G57" s="15">
        <v>45931</v>
      </c>
      <c r="H57" s="40" t="s">
        <v>69</v>
      </c>
      <c r="I57" s="17">
        <v>0</v>
      </c>
      <c r="J57" s="18">
        <f t="shared" si="0"/>
        <v>0</v>
      </c>
      <c r="K57" s="19">
        <f>+SUM(M57:O57)</f>
        <v>0</v>
      </c>
      <c r="L57" s="20">
        <f t="shared" si="2"/>
        <v>0</v>
      </c>
      <c r="M57" s="49"/>
      <c r="N57" s="48">
        <v>0</v>
      </c>
      <c r="O57" s="48">
        <v>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0</v>
      </c>
      <c r="X57" s="48">
        <v>0</v>
      </c>
    </row>
    <row r="58" spans="1:24">
      <c r="A58" s="11" t="s">
        <v>39</v>
      </c>
      <c r="B58" s="32" t="s">
        <v>28</v>
      </c>
      <c r="C58" s="44">
        <v>2025</v>
      </c>
      <c r="D58" s="13" t="s">
        <v>257</v>
      </c>
      <c r="E58" s="84" t="s">
        <v>258</v>
      </c>
      <c r="F58" s="44" t="s">
        <v>86</v>
      </c>
      <c r="G58" s="15">
        <v>45931</v>
      </c>
      <c r="H58" s="34" t="s">
        <v>41</v>
      </c>
      <c r="I58" s="17">
        <v>0</v>
      </c>
      <c r="J58" s="18">
        <f t="shared" si="0"/>
        <v>2400</v>
      </c>
      <c r="K58" s="19">
        <f>SUM(M58:X58)</f>
        <v>2400</v>
      </c>
      <c r="L58" s="20">
        <f t="shared" si="2"/>
        <v>0</v>
      </c>
      <c r="M58" s="41">
        <v>2400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</row>
    <row r="59" spans="1:24">
      <c r="A59" s="11" t="s">
        <v>0</v>
      </c>
      <c r="B59" s="31" t="s">
        <v>20</v>
      </c>
      <c r="C59" s="31">
        <v>2025</v>
      </c>
      <c r="D59" s="13" t="s">
        <v>259</v>
      </c>
      <c r="E59" s="84" t="s">
        <v>260</v>
      </c>
      <c r="F59" s="42" t="s">
        <v>87</v>
      </c>
      <c r="G59" s="15">
        <v>45896</v>
      </c>
      <c r="H59" s="40"/>
      <c r="I59" s="17">
        <v>1300</v>
      </c>
      <c r="J59" s="18">
        <f t="shared" si="0"/>
        <v>13000</v>
      </c>
      <c r="K59" s="19">
        <f>+SUM(M59:O59)</f>
        <v>13000</v>
      </c>
      <c r="L59" s="20">
        <f t="shared" si="2"/>
        <v>0</v>
      </c>
      <c r="M59" s="41">
        <v>13000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56"/>
    </row>
    <row r="60" spans="1:24">
      <c r="A60" s="11" t="s">
        <v>0</v>
      </c>
      <c r="B60" s="31" t="s">
        <v>20</v>
      </c>
      <c r="C60" s="31">
        <v>2025</v>
      </c>
      <c r="D60" s="13" t="s">
        <v>261</v>
      </c>
      <c r="E60" s="84" t="s">
        <v>262</v>
      </c>
      <c r="F60" s="42" t="s">
        <v>88</v>
      </c>
      <c r="G60" s="15">
        <v>45961</v>
      </c>
      <c r="H60" s="40"/>
      <c r="I60" s="17">
        <v>1300</v>
      </c>
      <c r="J60" s="18">
        <f t="shared" si="0"/>
        <v>14300</v>
      </c>
      <c r="K60" s="19">
        <f>SUM(M60:V60)</f>
        <v>13000</v>
      </c>
      <c r="L60" s="20">
        <f t="shared" si="2"/>
        <v>1300</v>
      </c>
      <c r="M60" s="41">
        <v>1300</v>
      </c>
      <c r="N60" s="22">
        <v>1300</v>
      </c>
      <c r="O60" s="22">
        <v>1300</v>
      </c>
      <c r="P60" s="48">
        <v>1300</v>
      </c>
      <c r="Q60" s="48">
        <v>1300</v>
      </c>
      <c r="R60" s="48">
        <v>1300</v>
      </c>
      <c r="S60" s="48">
        <v>1300</v>
      </c>
      <c r="T60" s="48">
        <v>1300</v>
      </c>
      <c r="U60" s="48">
        <v>1300</v>
      </c>
      <c r="V60" s="48">
        <v>1300</v>
      </c>
      <c r="W60" s="60">
        <v>1300</v>
      </c>
      <c r="X60" s="56"/>
    </row>
    <row r="61" spans="1:24">
      <c r="A61" s="11" t="s">
        <v>0</v>
      </c>
      <c r="B61" s="30" t="s">
        <v>57</v>
      </c>
      <c r="C61" s="31">
        <v>2025</v>
      </c>
      <c r="D61" s="13" t="s">
        <v>263</v>
      </c>
      <c r="E61" s="84" t="s">
        <v>264</v>
      </c>
      <c r="F61" s="42" t="s">
        <v>89</v>
      </c>
      <c r="G61" s="15">
        <v>45779</v>
      </c>
      <c r="H61" s="43"/>
      <c r="I61" s="17">
        <v>800</v>
      </c>
      <c r="J61" s="18">
        <f t="shared" si="0"/>
        <v>10900</v>
      </c>
      <c r="K61" s="19">
        <f>SUM(M61:V61)</f>
        <v>9300</v>
      </c>
      <c r="L61" s="20">
        <f>J61-K61</f>
        <v>1600</v>
      </c>
      <c r="M61" s="41">
        <f>800+300+1000</f>
        <v>2100</v>
      </c>
      <c r="N61" s="22">
        <v>800</v>
      </c>
      <c r="O61" s="22">
        <v>800</v>
      </c>
      <c r="P61" s="22">
        <v>1600</v>
      </c>
      <c r="Q61" s="53">
        <v>0</v>
      </c>
      <c r="R61" s="53">
        <v>800</v>
      </c>
      <c r="S61" s="53">
        <v>800</v>
      </c>
      <c r="T61" s="53">
        <v>800</v>
      </c>
      <c r="U61" s="53">
        <v>800</v>
      </c>
      <c r="V61" s="53">
        <v>800</v>
      </c>
      <c r="W61" s="54">
        <v>800</v>
      </c>
      <c r="X61" s="54">
        <v>800</v>
      </c>
    </row>
    <row r="62" spans="1:24">
      <c r="A62" s="11" t="s">
        <v>39</v>
      </c>
      <c r="B62" s="44" t="s">
        <v>20</v>
      </c>
      <c r="C62" s="44">
        <v>2025</v>
      </c>
      <c r="D62" s="13" t="s">
        <v>265</v>
      </c>
      <c r="E62" s="84" t="s">
        <v>266</v>
      </c>
      <c r="F62" s="44" t="s">
        <v>90</v>
      </c>
      <c r="G62" s="15">
        <v>45943</v>
      </c>
      <c r="H62" s="34" t="s">
        <v>41</v>
      </c>
      <c r="I62" s="17">
        <v>0</v>
      </c>
      <c r="J62" s="18">
        <f t="shared" si="0"/>
        <v>2600</v>
      </c>
      <c r="K62" s="19">
        <f t="shared" ref="K62:K64" si="21">SUM(M62:X62)</f>
        <v>2600</v>
      </c>
      <c r="L62" s="20">
        <f t="shared" si="2"/>
        <v>0</v>
      </c>
      <c r="M62" s="41">
        <v>1300</v>
      </c>
      <c r="N62" s="22">
        <v>1300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</row>
    <row r="63" spans="1:24">
      <c r="A63" s="11" t="s">
        <v>39</v>
      </c>
      <c r="B63" s="44" t="s">
        <v>20</v>
      </c>
      <c r="C63" s="44">
        <v>2025</v>
      </c>
      <c r="D63" s="13" t="s">
        <v>267</v>
      </c>
      <c r="E63" s="84" t="s">
        <v>268</v>
      </c>
      <c r="F63" s="44" t="s">
        <v>91</v>
      </c>
      <c r="G63" s="15">
        <v>45950</v>
      </c>
      <c r="H63" s="34" t="s">
        <v>41</v>
      </c>
      <c r="I63" s="17">
        <v>0</v>
      </c>
      <c r="J63" s="18">
        <f t="shared" si="0"/>
        <v>2600</v>
      </c>
      <c r="K63" s="19">
        <f t="shared" si="21"/>
        <v>2600</v>
      </c>
      <c r="L63" s="20">
        <f t="shared" si="2"/>
        <v>0</v>
      </c>
      <c r="M63" s="41">
        <v>1300</v>
      </c>
      <c r="N63" s="22">
        <v>1300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</row>
    <row r="64" spans="1:24">
      <c r="A64" s="11" t="s">
        <v>39</v>
      </c>
      <c r="B64" s="44" t="s">
        <v>20</v>
      </c>
      <c r="C64" s="44">
        <v>2025</v>
      </c>
      <c r="D64" s="13" t="s">
        <v>269</v>
      </c>
      <c r="E64" s="84" t="s">
        <v>270</v>
      </c>
      <c r="F64" s="61" t="s">
        <v>92</v>
      </c>
      <c r="G64" s="15">
        <v>45911</v>
      </c>
      <c r="H64" s="34" t="s">
        <v>41</v>
      </c>
      <c r="I64" s="17">
        <v>1200</v>
      </c>
      <c r="J64" s="18">
        <f t="shared" si="0"/>
        <v>3700</v>
      </c>
      <c r="K64" s="19">
        <f t="shared" si="21"/>
        <v>3700</v>
      </c>
      <c r="L64" s="20">
        <f t="shared" si="2"/>
        <v>0</v>
      </c>
      <c r="M64" s="41">
        <v>2500</v>
      </c>
      <c r="N64" s="22">
        <v>1200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</row>
    <row r="65" spans="1:24">
      <c r="A65" s="11" t="s">
        <v>0</v>
      </c>
      <c r="B65" s="30" t="s">
        <v>57</v>
      </c>
      <c r="C65" s="31">
        <v>2025</v>
      </c>
      <c r="D65" s="13" t="s">
        <v>271</v>
      </c>
      <c r="E65" s="84" t="s">
        <v>272</v>
      </c>
      <c r="F65" s="39" t="s">
        <v>93</v>
      </c>
      <c r="G65" s="15">
        <v>45964</v>
      </c>
      <c r="H65" s="51" t="s">
        <v>94</v>
      </c>
      <c r="I65" s="17">
        <v>900</v>
      </c>
      <c r="J65" s="18">
        <f t="shared" si="0"/>
        <v>10700</v>
      </c>
      <c r="K65" s="19">
        <f>SUM(M65:U65)</f>
        <v>7900</v>
      </c>
      <c r="L65" s="20">
        <f t="shared" si="2"/>
        <v>2800</v>
      </c>
      <c r="M65" s="41">
        <v>500</v>
      </c>
      <c r="N65" s="22">
        <v>900</v>
      </c>
      <c r="O65" s="22">
        <v>900</v>
      </c>
      <c r="P65" s="22">
        <v>300</v>
      </c>
      <c r="Q65" s="22">
        <v>1800</v>
      </c>
      <c r="R65" s="22">
        <v>900</v>
      </c>
      <c r="S65" s="22">
        <v>900</v>
      </c>
      <c r="T65" s="22">
        <v>900</v>
      </c>
      <c r="U65" s="22">
        <v>800</v>
      </c>
      <c r="V65" s="29">
        <v>1000</v>
      </c>
      <c r="W65" s="23">
        <v>900</v>
      </c>
      <c r="X65" s="23">
        <v>900</v>
      </c>
    </row>
    <row r="66" spans="1:24">
      <c r="A66" s="11" t="s">
        <v>0</v>
      </c>
      <c r="B66" s="31" t="s">
        <v>28</v>
      </c>
      <c r="C66" s="31">
        <v>2025</v>
      </c>
      <c r="D66" s="13" t="s">
        <v>273</v>
      </c>
      <c r="E66" s="84" t="s">
        <v>274</v>
      </c>
      <c r="F66" s="39" t="s">
        <v>95</v>
      </c>
      <c r="G66" s="15">
        <v>45966</v>
      </c>
      <c r="H66" s="40"/>
      <c r="I66" s="17">
        <v>1100</v>
      </c>
      <c r="J66" s="18">
        <f t="shared" ref="J66:J100" si="22">SUM(M66:X66)</f>
        <v>13400</v>
      </c>
      <c r="K66" s="19">
        <f>SUM(M66:V66)</f>
        <v>11200</v>
      </c>
      <c r="L66" s="20">
        <f t="shared" si="2"/>
        <v>2200</v>
      </c>
      <c r="M66" s="41">
        <v>1300</v>
      </c>
      <c r="N66" s="22">
        <v>1100</v>
      </c>
      <c r="O66" s="53">
        <v>1100</v>
      </c>
      <c r="P66" s="22">
        <v>0</v>
      </c>
      <c r="Q66" s="22">
        <v>1100</v>
      </c>
      <c r="R66" s="22">
        <v>2200</v>
      </c>
      <c r="S66" s="22">
        <f t="shared" ref="P66:X67" si="23">$I66</f>
        <v>1100</v>
      </c>
      <c r="T66" s="22">
        <f t="shared" si="23"/>
        <v>1100</v>
      </c>
      <c r="U66" s="22">
        <f t="shared" si="23"/>
        <v>1100</v>
      </c>
      <c r="V66" s="22">
        <f t="shared" si="23"/>
        <v>1100</v>
      </c>
      <c r="W66" s="23">
        <f t="shared" si="23"/>
        <v>1100</v>
      </c>
      <c r="X66" s="23">
        <f t="shared" si="23"/>
        <v>1100</v>
      </c>
    </row>
    <row r="67" spans="1:24">
      <c r="A67" s="11" t="s">
        <v>0</v>
      </c>
      <c r="B67" s="31" t="s">
        <v>28</v>
      </c>
      <c r="C67" s="31">
        <v>2025</v>
      </c>
      <c r="D67" s="13" t="s">
        <v>275</v>
      </c>
      <c r="E67" s="84" t="s">
        <v>276</v>
      </c>
      <c r="F67" s="42" t="s">
        <v>96</v>
      </c>
      <c r="G67" s="15">
        <v>45937</v>
      </c>
      <c r="H67" s="40"/>
      <c r="I67" s="17">
        <v>1100</v>
      </c>
      <c r="J67" s="18">
        <f t="shared" si="22"/>
        <v>13400</v>
      </c>
      <c r="K67" s="19">
        <f t="shared" ref="K67:K69" si="24">SUM(M67:V67)</f>
        <v>11200</v>
      </c>
      <c r="L67" s="20">
        <f t="shared" ref="L67:L109" si="25">J67-K67</f>
        <v>2200</v>
      </c>
      <c r="M67" s="41">
        <v>1300</v>
      </c>
      <c r="N67" s="22">
        <v>1100</v>
      </c>
      <c r="O67" s="53">
        <v>1100</v>
      </c>
      <c r="P67" s="22">
        <f t="shared" si="23"/>
        <v>1100</v>
      </c>
      <c r="Q67" s="22">
        <f t="shared" si="23"/>
        <v>1100</v>
      </c>
      <c r="R67" s="22">
        <f t="shared" si="23"/>
        <v>1100</v>
      </c>
      <c r="S67" s="22">
        <f t="shared" si="23"/>
        <v>1100</v>
      </c>
      <c r="T67" s="22">
        <f t="shared" si="23"/>
        <v>1100</v>
      </c>
      <c r="U67" s="22">
        <f t="shared" si="23"/>
        <v>1100</v>
      </c>
      <c r="V67" s="22">
        <f t="shared" si="23"/>
        <v>1100</v>
      </c>
      <c r="W67" s="23">
        <f t="shared" si="23"/>
        <v>1100</v>
      </c>
      <c r="X67" s="23">
        <f t="shared" si="23"/>
        <v>1100</v>
      </c>
    </row>
    <row r="68" spans="1:24">
      <c r="A68" s="11" t="s">
        <v>0</v>
      </c>
      <c r="B68" s="30" t="s">
        <v>20</v>
      </c>
      <c r="C68" s="31">
        <v>2025</v>
      </c>
      <c r="D68" s="13" t="s">
        <v>277</v>
      </c>
      <c r="E68" s="84" t="s">
        <v>278</v>
      </c>
      <c r="F68" s="42" t="s">
        <v>97</v>
      </c>
      <c r="G68" s="15">
        <v>45934</v>
      </c>
      <c r="H68" s="40"/>
      <c r="I68" s="17">
        <v>1300</v>
      </c>
      <c r="J68" s="18">
        <f t="shared" si="22"/>
        <v>15100</v>
      </c>
      <c r="K68" s="19">
        <f t="shared" si="24"/>
        <v>13800</v>
      </c>
      <c r="L68" s="20">
        <f t="shared" si="25"/>
        <v>1300</v>
      </c>
      <c r="M68" s="41">
        <v>2100</v>
      </c>
      <c r="N68" s="53">
        <v>1300</v>
      </c>
      <c r="O68" s="62">
        <v>1300</v>
      </c>
      <c r="P68" s="48">
        <v>1300</v>
      </c>
      <c r="Q68" s="52">
        <v>1300</v>
      </c>
      <c r="R68" s="52">
        <v>1300</v>
      </c>
      <c r="S68" s="52">
        <v>1300</v>
      </c>
      <c r="T68" s="52">
        <v>1300</v>
      </c>
      <c r="U68" s="52">
        <v>1300</v>
      </c>
      <c r="V68" s="52">
        <v>1300</v>
      </c>
      <c r="W68" s="57">
        <v>1300</v>
      </c>
      <c r="X68" s="56"/>
    </row>
    <row r="69" spans="1:24">
      <c r="A69" s="11" t="s">
        <v>0</v>
      </c>
      <c r="B69" s="30" t="s">
        <v>57</v>
      </c>
      <c r="C69" s="31">
        <v>2025</v>
      </c>
      <c r="D69" s="13" t="s">
        <v>279</v>
      </c>
      <c r="E69" s="84" t="s">
        <v>280</v>
      </c>
      <c r="F69" s="59" t="s">
        <v>98</v>
      </c>
      <c r="G69" s="15">
        <v>45947</v>
      </c>
      <c r="H69" s="40"/>
      <c r="I69" s="17">
        <v>900</v>
      </c>
      <c r="J69" s="18">
        <f t="shared" si="22"/>
        <v>11200</v>
      </c>
      <c r="K69" s="19">
        <f t="shared" si="24"/>
        <v>8485</v>
      </c>
      <c r="L69" s="20">
        <f t="shared" si="25"/>
        <v>2715</v>
      </c>
      <c r="M69" s="41">
        <v>600</v>
      </c>
      <c r="N69" s="53">
        <v>900</v>
      </c>
      <c r="O69" s="63">
        <v>0</v>
      </c>
      <c r="P69" s="53">
        <v>2500</v>
      </c>
      <c r="Q69" s="53">
        <v>900</v>
      </c>
      <c r="R69" s="53">
        <v>900</v>
      </c>
      <c r="S69" s="53">
        <v>900</v>
      </c>
      <c r="T69" s="53">
        <f>900-15</f>
        <v>885</v>
      </c>
      <c r="U69" s="63">
        <v>0</v>
      </c>
      <c r="V69" s="53">
        <v>900</v>
      </c>
      <c r="W69" s="64">
        <v>1815</v>
      </c>
      <c r="X69" s="64">
        <v>900</v>
      </c>
    </row>
    <row r="70" spans="1:24">
      <c r="A70" s="11" t="s">
        <v>0</v>
      </c>
      <c r="B70" s="30" t="s">
        <v>28</v>
      </c>
      <c r="C70" s="30">
        <v>2025</v>
      </c>
      <c r="D70" s="13" t="s">
        <v>281</v>
      </c>
      <c r="E70" s="84" t="s">
        <v>282</v>
      </c>
      <c r="F70" s="42" t="s">
        <v>99</v>
      </c>
      <c r="G70" s="15">
        <v>45839</v>
      </c>
      <c r="H70" s="43"/>
      <c r="I70" s="17">
        <v>900</v>
      </c>
      <c r="J70" s="18">
        <f t="shared" si="22"/>
        <v>8500</v>
      </c>
      <c r="K70" s="19">
        <f>SUM(M70:S70)</f>
        <v>7600</v>
      </c>
      <c r="L70" s="20">
        <f t="shared" si="25"/>
        <v>900</v>
      </c>
      <c r="M70" s="41">
        <v>2200</v>
      </c>
      <c r="N70" s="22">
        <v>900</v>
      </c>
      <c r="O70" s="53">
        <v>900</v>
      </c>
      <c r="P70" s="53">
        <f t="shared" ref="P70:X71" si="26">$I70</f>
        <v>900</v>
      </c>
      <c r="Q70" s="53">
        <f t="shared" si="26"/>
        <v>900</v>
      </c>
      <c r="R70" s="53">
        <f t="shared" si="26"/>
        <v>900</v>
      </c>
      <c r="S70" s="53">
        <f t="shared" si="26"/>
        <v>900</v>
      </c>
      <c r="T70" s="53">
        <v>0</v>
      </c>
      <c r="U70" s="53">
        <v>0</v>
      </c>
      <c r="V70" s="53">
        <v>0</v>
      </c>
      <c r="W70" s="53">
        <v>0</v>
      </c>
      <c r="X70" s="54">
        <f t="shared" si="26"/>
        <v>900</v>
      </c>
    </row>
    <row r="71" spans="1:24">
      <c r="A71" s="11" t="s">
        <v>0</v>
      </c>
      <c r="B71" s="30" t="s">
        <v>28</v>
      </c>
      <c r="C71" s="30">
        <v>2025</v>
      </c>
      <c r="D71" s="13" t="s">
        <v>283</v>
      </c>
      <c r="E71" s="84" t="s">
        <v>284</v>
      </c>
      <c r="F71" s="42" t="s">
        <v>100</v>
      </c>
      <c r="G71" s="15">
        <v>45870</v>
      </c>
      <c r="H71" s="25" t="s">
        <v>24</v>
      </c>
      <c r="I71" s="17">
        <v>1000</v>
      </c>
      <c r="J71" s="18">
        <f t="shared" si="22"/>
        <v>13100</v>
      </c>
      <c r="K71" s="19">
        <f>SUM(M71:T71)</f>
        <v>9100</v>
      </c>
      <c r="L71" s="20">
        <f t="shared" si="25"/>
        <v>4000</v>
      </c>
      <c r="M71" s="41">
        <v>1200</v>
      </c>
      <c r="N71" s="22">
        <v>1000</v>
      </c>
      <c r="O71" s="53">
        <v>1000</v>
      </c>
      <c r="P71" s="53">
        <v>1200</v>
      </c>
      <c r="Q71" s="53">
        <v>1200</v>
      </c>
      <c r="R71" s="53">
        <f>$I71+500</f>
        <v>1500</v>
      </c>
      <c r="S71" s="53">
        <f t="shared" si="26"/>
        <v>1000</v>
      </c>
      <c r="T71" s="53">
        <f t="shared" si="26"/>
        <v>1000</v>
      </c>
      <c r="U71" s="65">
        <v>0</v>
      </c>
      <c r="V71" s="65">
        <v>0</v>
      </c>
      <c r="W71" s="66">
        <v>3000</v>
      </c>
      <c r="X71" s="54">
        <f t="shared" si="26"/>
        <v>1000</v>
      </c>
    </row>
    <row r="72" spans="1:24">
      <c r="A72" s="11" t="s">
        <v>0</v>
      </c>
      <c r="B72" s="30" t="s">
        <v>28</v>
      </c>
      <c r="C72" s="30">
        <v>2025</v>
      </c>
      <c r="D72" s="13" t="s">
        <v>285</v>
      </c>
      <c r="E72" s="84" t="s">
        <v>286</v>
      </c>
      <c r="F72" s="39" t="s">
        <v>101</v>
      </c>
      <c r="G72" s="15">
        <v>45923</v>
      </c>
      <c r="H72" s="40"/>
      <c r="I72" s="17">
        <v>1000</v>
      </c>
      <c r="J72" s="18">
        <f t="shared" si="22"/>
        <v>12000</v>
      </c>
      <c r="K72" s="19">
        <f>+SUM(M72:O72)</f>
        <v>12000</v>
      </c>
      <c r="L72" s="20">
        <f t="shared" si="25"/>
        <v>0</v>
      </c>
      <c r="M72" s="41">
        <v>12000</v>
      </c>
      <c r="N72" s="22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5">
        <v>0</v>
      </c>
      <c r="X72" s="55">
        <v>0</v>
      </c>
    </row>
    <row r="73" spans="1:24">
      <c r="A73" s="11" t="s">
        <v>0</v>
      </c>
      <c r="B73" s="30" t="s">
        <v>57</v>
      </c>
      <c r="C73" s="30">
        <v>2025</v>
      </c>
      <c r="D73" s="13" t="s">
        <v>287</v>
      </c>
      <c r="E73" s="84" t="s">
        <v>288</v>
      </c>
      <c r="F73" s="42" t="s">
        <v>102</v>
      </c>
      <c r="G73" s="15">
        <v>45901</v>
      </c>
      <c r="H73" s="43"/>
      <c r="I73" s="17">
        <v>900</v>
      </c>
      <c r="J73" s="18">
        <f t="shared" si="22"/>
        <v>12100</v>
      </c>
      <c r="K73" s="19">
        <f>SUM(M73:V73)</f>
        <v>10300</v>
      </c>
      <c r="L73" s="20">
        <f t="shared" si="25"/>
        <v>1800</v>
      </c>
      <c r="M73" s="41">
        <f>900+1000+300</f>
        <v>2200</v>
      </c>
      <c r="N73" s="22">
        <v>900</v>
      </c>
      <c r="O73" s="53">
        <v>900</v>
      </c>
      <c r="P73" s="53">
        <v>900</v>
      </c>
      <c r="Q73" s="53">
        <v>900</v>
      </c>
      <c r="R73" s="53">
        <v>900</v>
      </c>
      <c r="S73" s="53">
        <v>900</v>
      </c>
      <c r="T73" s="53">
        <v>900</v>
      </c>
      <c r="U73" s="53">
        <v>900</v>
      </c>
      <c r="V73" s="53">
        <v>900</v>
      </c>
      <c r="W73" s="54">
        <v>900</v>
      </c>
      <c r="X73" s="54">
        <v>900</v>
      </c>
    </row>
    <row r="74" spans="1:24">
      <c r="A74" s="11" t="s">
        <v>0</v>
      </c>
      <c r="B74" s="30" t="s">
        <v>20</v>
      </c>
      <c r="C74" s="30">
        <v>2025</v>
      </c>
      <c r="D74" s="13" t="s">
        <v>289</v>
      </c>
      <c r="E74" s="84" t="s">
        <v>290</v>
      </c>
      <c r="F74" s="42" t="s">
        <v>103</v>
      </c>
      <c r="G74" s="15">
        <v>45909</v>
      </c>
      <c r="H74" s="43"/>
      <c r="I74" s="17">
        <v>1300</v>
      </c>
      <c r="J74" s="18">
        <f t="shared" si="22"/>
        <v>15600</v>
      </c>
      <c r="K74" s="19">
        <f t="shared" ref="K74:K80" si="27">SUM(M74:V74)</f>
        <v>14300</v>
      </c>
      <c r="L74" s="20">
        <f t="shared" si="25"/>
        <v>1300</v>
      </c>
      <c r="M74" s="41">
        <v>2600</v>
      </c>
      <c r="N74" s="22">
        <v>1300</v>
      </c>
      <c r="O74" s="53">
        <v>1300</v>
      </c>
      <c r="P74" s="53">
        <f t="shared" ref="P74:W74" si="28">$I74</f>
        <v>1300</v>
      </c>
      <c r="Q74" s="53">
        <f t="shared" si="28"/>
        <v>1300</v>
      </c>
      <c r="R74" s="53">
        <f t="shared" si="28"/>
        <v>1300</v>
      </c>
      <c r="S74" s="53">
        <f t="shared" si="28"/>
        <v>1300</v>
      </c>
      <c r="T74" s="53">
        <f t="shared" si="28"/>
        <v>1300</v>
      </c>
      <c r="U74" s="53">
        <f t="shared" si="28"/>
        <v>1300</v>
      </c>
      <c r="V74" s="53">
        <f t="shared" si="28"/>
        <v>1300</v>
      </c>
      <c r="W74" s="54">
        <f t="shared" si="28"/>
        <v>1300</v>
      </c>
      <c r="X74" s="56"/>
    </row>
    <row r="75" spans="1:24">
      <c r="A75" s="11" t="s">
        <v>0</v>
      </c>
      <c r="B75" s="30" t="s">
        <v>20</v>
      </c>
      <c r="C75" s="30">
        <v>2025</v>
      </c>
      <c r="D75" s="13" t="s">
        <v>291</v>
      </c>
      <c r="E75" s="84" t="s">
        <v>292</v>
      </c>
      <c r="F75" s="67" t="s">
        <v>104</v>
      </c>
      <c r="G75" s="15">
        <v>45950</v>
      </c>
      <c r="H75" s="40"/>
      <c r="I75" s="17">
        <v>1300</v>
      </c>
      <c r="J75" s="18">
        <f t="shared" si="22"/>
        <v>14300</v>
      </c>
      <c r="K75" s="19">
        <f t="shared" si="27"/>
        <v>14300</v>
      </c>
      <c r="L75" s="20">
        <f t="shared" si="25"/>
        <v>0</v>
      </c>
      <c r="M75" s="41">
        <v>1300</v>
      </c>
      <c r="N75" s="22">
        <v>1300</v>
      </c>
      <c r="O75" s="53">
        <v>1300</v>
      </c>
      <c r="P75" s="52">
        <v>1300</v>
      </c>
      <c r="Q75" s="52">
        <v>1300</v>
      </c>
      <c r="R75" s="52">
        <v>1300</v>
      </c>
      <c r="S75" s="52">
        <v>1300</v>
      </c>
      <c r="T75" s="52">
        <v>1300</v>
      </c>
      <c r="U75" s="52">
        <v>1300</v>
      </c>
      <c r="V75" s="52">
        <v>2600</v>
      </c>
      <c r="W75" s="57">
        <v>0</v>
      </c>
      <c r="X75" s="56"/>
    </row>
    <row r="76" spans="1:24">
      <c r="A76" s="11" t="s">
        <v>0</v>
      </c>
      <c r="B76" s="30" t="s">
        <v>57</v>
      </c>
      <c r="C76" s="30">
        <v>2025</v>
      </c>
      <c r="D76" s="13" t="s">
        <v>293</v>
      </c>
      <c r="E76" s="84" t="s">
        <v>294</v>
      </c>
      <c r="F76" s="67" t="s">
        <v>105</v>
      </c>
      <c r="G76" s="15">
        <v>45918</v>
      </c>
      <c r="H76" s="43"/>
      <c r="I76" s="17">
        <v>900</v>
      </c>
      <c r="J76" s="18">
        <f t="shared" si="22"/>
        <v>11800</v>
      </c>
      <c r="K76" s="19">
        <f t="shared" si="27"/>
        <v>10000</v>
      </c>
      <c r="L76" s="20">
        <f t="shared" si="25"/>
        <v>1800</v>
      </c>
      <c r="M76" s="41">
        <f>900+1000+0</f>
        <v>1900</v>
      </c>
      <c r="N76" s="22">
        <v>900</v>
      </c>
      <c r="O76" s="53">
        <v>900</v>
      </c>
      <c r="P76" s="53">
        <v>900</v>
      </c>
      <c r="Q76" s="53">
        <v>900</v>
      </c>
      <c r="R76" s="53">
        <v>900</v>
      </c>
      <c r="S76" s="53">
        <v>900</v>
      </c>
      <c r="T76" s="53">
        <v>900</v>
      </c>
      <c r="U76" s="53">
        <v>900</v>
      </c>
      <c r="V76" s="53">
        <v>900</v>
      </c>
      <c r="W76" s="54">
        <v>900</v>
      </c>
      <c r="X76" s="54">
        <v>900</v>
      </c>
    </row>
    <row r="77" spans="1:24">
      <c r="A77" s="11" t="s">
        <v>0</v>
      </c>
      <c r="B77" s="30" t="s">
        <v>57</v>
      </c>
      <c r="C77" s="30">
        <v>2025</v>
      </c>
      <c r="D77" s="13" t="s">
        <v>295</v>
      </c>
      <c r="E77" s="84" t="s">
        <v>296</v>
      </c>
      <c r="F77" s="67" t="s">
        <v>106</v>
      </c>
      <c r="G77" s="15">
        <v>45966</v>
      </c>
      <c r="H77" s="40"/>
      <c r="I77" s="17">
        <v>900</v>
      </c>
      <c r="J77" s="18">
        <f t="shared" si="22"/>
        <v>11200</v>
      </c>
      <c r="K77" s="19">
        <f t="shared" si="27"/>
        <v>9400</v>
      </c>
      <c r="L77" s="20">
        <f t="shared" si="25"/>
        <v>1800</v>
      </c>
      <c r="M77" s="41">
        <v>1300</v>
      </c>
      <c r="N77" s="22">
        <v>900</v>
      </c>
      <c r="O77" s="53">
        <v>900</v>
      </c>
      <c r="P77" s="53">
        <v>900</v>
      </c>
      <c r="Q77" s="53">
        <v>900</v>
      </c>
      <c r="R77" s="53">
        <v>900</v>
      </c>
      <c r="S77" s="53">
        <v>900</v>
      </c>
      <c r="T77" s="53">
        <v>900</v>
      </c>
      <c r="U77" s="53">
        <v>900</v>
      </c>
      <c r="V77" s="53">
        <v>900</v>
      </c>
      <c r="W77" s="54">
        <v>900</v>
      </c>
      <c r="X77" s="54">
        <v>900</v>
      </c>
    </row>
    <row r="78" spans="1:24">
      <c r="A78" s="11" t="s">
        <v>0</v>
      </c>
      <c r="B78" s="30" t="s">
        <v>28</v>
      </c>
      <c r="C78" s="30">
        <v>2025</v>
      </c>
      <c r="D78" s="13" t="s">
        <v>297</v>
      </c>
      <c r="E78" s="84" t="s">
        <v>298</v>
      </c>
      <c r="F78" s="67" t="s">
        <v>107</v>
      </c>
      <c r="G78" s="15">
        <v>45929</v>
      </c>
      <c r="H78" s="40"/>
      <c r="I78" s="17">
        <v>1100</v>
      </c>
      <c r="J78" s="18">
        <f t="shared" si="22"/>
        <v>14500</v>
      </c>
      <c r="K78" s="19">
        <f t="shared" si="27"/>
        <v>12300</v>
      </c>
      <c r="L78" s="20">
        <f t="shared" si="25"/>
        <v>2200</v>
      </c>
      <c r="M78" s="41">
        <v>2400</v>
      </c>
      <c r="N78" s="22">
        <v>1100</v>
      </c>
      <c r="O78" s="53">
        <v>1100</v>
      </c>
      <c r="P78" s="53">
        <f t="shared" ref="P78:X79" si="29">$I78</f>
        <v>1100</v>
      </c>
      <c r="Q78" s="53">
        <f t="shared" si="29"/>
        <v>1100</v>
      </c>
      <c r="R78" s="53">
        <f t="shared" si="29"/>
        <v>1100</v>
      </c>
      <c r="S78" s="53">
        <f t="shared" si="29"/>
        <v>1100</v>
      </c>
      <c r="T78" s="53">
        <f t="shared" si="29"/>
        <v>1100</v>
      </c>
      <c r="U78" s="53">
        <f t="shared" si="29"/>
        <v>1100</v>
      </c>
      <c r="V78" s="53">
        <f t="shared" si="29"/>
        <v>1100</v>
      </c>
      <c r="W78" s="54">
        <f t="shared" si="29"/>
        <v>1100</v>
      </c>
      <c r="X78" s="54">
        <f t="shared" si="29"/>
        <v>1100</v>
      </c>
    </row>
    <row r="79" spans="1:24">
      <c r="A79" s="11" t="s">
        <v>0</v>
      </c>
      <c r="B79" s="30" t="s">
        <v>20</v>
      </c>
      <c r="C79" s="30">
        <v>2025</v>
      </c>
      <c r="D79" s="13" t="s">
        <v>299</v>
      </c>
      <c r="E79" s="84" t="s">
        <v>300</v>
      </c>
      <c r="F79" s="67" t="s">
        <v>108</v>
      </c>
      <c r="G79" s="15">
        <v>45904</v>
      </c>
      <c r="H79" s="43"/>
      <c r="I79" s="17">
        <v>1300</v>
      </c>
      <c r="J79" s="18">
        <f t="shared" si="22"/>
        <v>15600</v>
      </c>
      <c r="K79" s="19">
        <f t="shared" si="27"/>
        <v>14300</v>
      </c>
      <c r="L79" s="20">
        <f t="shared" si="25"/>
        <v>1300</v>
      </c>
      <c r="M79" s="41">
        <v>2600</v>
      </c>
      <c r="N79" s="22">
        <v>1300</v>
      </c>
      <c r="O79" s="53">
        <v>1300</v>
      </c>
      <c r="P79" s="53">
        <f t="shared" si="29"/>
        <v>1300</v>
      </c>
      <c r="Q79" s="53">
        <f t="shared" si="29"/>
        <v>1300</v>
      </c>
      <c r="R79" s="53">
        <f t="shared" si="29"/>
        <v>1300</v>
      </c>
      <c r="S79" s="53">
        <f t="shared" si="29"/>
        <v>1300</v>
      </c>
      <c r="T79" s="53">
        <f t="shared" si="29"/>
        <v>1300</v>
      </c>
      <c r="U79" s="53">
        <f t="shared" si="29"/>
        <v>1300</v>
      </c>
      <c r="V79" s="53">
        <f t="shared" si="29"/>
        <v>1300</v>
      </c>
      <c r="W79" s="54">
        <f t="shared" si="29"/>
        <v>1300</v>
      </c>
      <c r="X79" s="56"/>
    </row>
    <row r="80" spans="1:24">
      <c r="A80" s="11" t="s">
        <v>0</v>
      </c>
      <c r="B80" s="30" t="s">
        <v>57</v>
      </c>
      <c r="C80" s="30">
        <v>2025</v>
      </c>
      <c r="D80" s="13" t="s">
        <v>301</v>
      </c>
      <c r="E80" s="84" t="s">
        <v>302</v>
      </c>
      <c r="F80" s="67" t="s">
        <v>109</v>
      </c>
      <c r="G80" s="15">
        <v>45910</v>
      </c>
      <c r="H80" s="43"/>
      <c r="I80" s="17">
        <v>900</v>
      </c>
      <c r="J80" s="18">
        <f t="shared" si="22"/>
        <v>12100</v>
      </c>
      <c r="K80" s="19">
        <f t="shared" si="27"/>
        <v>10300</v>
      </c>
      <c r="L80" s="20">
        <f t="shared" si="25"/>
        <v>1800</v>
      </c>
      <c r="M80" s="41">
        <f>900+1000+300</f>
        <v>2200</v>
      </c>
      <c r="N80" s="22">
        <v>900</v>
      </c>
      <c r="O80" s="53">
        <v>900</v>
      </c>
      <c r="P80" s="53">
        <v>900</v>
      </c>
      <c r="Q80" s="53">
        <v>900</v>
      </c>
      <c r="R80" s="53">
        <v>900</v>
      </c>
      <c r="S80" s="53">
        <v>900</v>
      </c>
      <c r="T80" s="53">
        <v>900</v>
      </c>
      <c r="U80" s="53">
        <v>900</v>
      </c>
      <c r="V80" s="53">
        <v>900</v>
      </c>
      <c r="W80" s="54">
        <v>900</v>
      </c>
      <c r="X80" s="54">
        <v>900</v>
      </c>
    </row>
    <row r="81" spans="1:24">
      <c r="A81" s="11" t="s">
        <v>0</v>
      </c>
      <c r="B81" s="30" t="s">
        <v>28</v>
      </c>
      <c r="C81" s="30">
        <v>2025</v>
      </c>
      <c r="D81" s="13" t="s">
        <v>303</v>
      </c>
      <c r="E81" s="84" t="s">
        <v>304</v>
      </c>
      <c r="F81" s="67" t="s">
        <v>110</v>
      </c>
      <c r="G81" s="15">
        <v>45932</v>
      </c>
      <c r="H81" s="68" t="s">
        <v>111</v>
      </c>
      <c r="I81" s="17">
        <v>1100</v>
      </c>
      <c r="J81" s="18">
        <f t="shared" si="22"/>
        <v>13500</v>
      </c>
      <c r="K81" s="19">
        <f>SUM(M81:U81)</f>
        <v>10200</v>
      </c>
      <c r="L81" s="20">
        <f t="shared" si="25"/>
        <v>3300</v>
      </c>
      <c r="M81" s="41">
        <v>1400</v>
      </c>
      <c r="N81" s="22">
        <v>1100</v>
      </c>
      <c r="O81" s="53">
        <v>1500</v>
      </c>
      <c r="P81" s="63">
        <v>0</v>
      </c>
      <c r="Q81" s="53">
        <f>1800+400</f>
        <v>2200</v>
      </c>
      <c r="R81" s="53">
        <f>$I81-400</f>
        <v>700</v>
      </c>
      <c r="S81" s="53">
        <f t="shared" ref="S81:X81" si="30">$I81</f>
        <v>1100</v>
      </c>
      <c r="T81" s="53">
        <v>1200</v>
      </c>
      <c r="U81" s="53">
        <v>1000</v>
      </c>
      <c r="V81" s="63">
        <f t="shared" si="30"/>
        <v>1100</v>
      </c>
      <c r="W81" s="54">
        <f t="shared" si="30"/>
        <v>1100</v>
      </c>
      <c r="X81" s="54">
        <f t="shared" si="30"/>
        <v>1100</v>
      </c>
    </row>
    <row r="82" spans="1:24">
      <c r="A82" s="11" t="s">
        <v>0</v>
      </c>
      <c r="B82" s="30" t="s">
        <v>20</v>
      </c>
      <c r="C82" s="30">
        <v>2025</v>
      </c>
      <c r="D82" s="13" t="s">
        <v>305</v>
      </c>
      <c r="E82" s="84" t="s">
        <v>306</v>
      </c>
      <c r="F82" s="67" t="s">
        <v>112</v>
      </c>
      <c r="G82" s="15">
        <v>45959</v>
      </c>
      <c r="H82" s="40"/>
      <c r="I82" s="17">
        <v>1300</v>
      </c>
      <c r="J82" s="18">
        <f t="shared" si="22"/>
        <v>13800</v>
      </c>
      <c r="K82" s="19">
        <f t="shared" ref="K82:K83" si="31">SUM(M82:V82)</f>
        <v>12500</v>
      </c>
      <c r="L82" s="20">
        <f t="shared" si="25"/>
        <v>1300</v>
      </c>
      <c r="M82" s="41">
        <v>800</v>
      </c>
      <c r="N82" s="22">
        <v>1300</v>
      </c>
      <c r="O82" s="53">
        <v>1300</v>
      </c>
      <c r="P82" s="52">
        <v>1300</v>
      </c>
      <c r="Q82" s="52">
        <v>1300</v>
      </c>
      <c r="R82" s="52">
        <v>1300</v>
      </c>
      <c r="S82" s="52">
        <v>1300</v>
      </c>
      <c r="T82" s="52">
        <v>1300</v>
      </c>
      <c r="U82" s="52">
        <v>1300</v>
      </c>
      <c r="V82" s="52">
        <v>1300</v>
      </c>
      <c r="W82" s="57">
        <v>1300</v>
      </c>
      <c r="X82" s="56"/>
    </row>
    <row r="83" spans="1:24">
      <c r="A83" s="11" t="s">
        <v>0</v>
      </c>
      <c r="B83" s="30" t="s">
        <v>28</v>
      </c>
      <c r="C83" s="30">
        <v>2025</v>
      </c>
      <c r="D83" s="13" t="s">
        <v>307</v>
      </c>
      <c r="E83" s="84" t="s">
        <v>308</v>
      </c>
      <c r="F83" s="67" t="s">
        <v>113</v>
      </c>
      <c r="G83" s="15">
        <v>45863</v>
      </c>
      <c r="H83" s="43"/>
      <c r="I83" s="17">
        <v>1100</v>
      </c>
      <c r="J83" s="18">
        <f t="shared" si="22"/>
        <v>14500</v>
      </c>
      <c r="K83" s="19">
        <f t="shared" si="31"/>
        <v>12300</v>
      </c>
      <c r="L83" s="20">
        <f t="shared" si="25"/>
        <v>2200</v>
      </c>
      <c r="M83" s="41">
        <v>2400</v>
      </c>
      <c r="N83" s="22">
        <v>1100</v>
      </c>
      <c r="O83" s="53">
        <v>1100</v>
      </c>
      <c r="P83" s="53">
        <v>2200</v>
      </c>
      <c r="Q83" s="53">
        <v>0</v>
      </c>
      <c r="R83" s="53">
        <f t="shared" ref="R83:X84" si="32">$I83</f>
        <v>1100</v>
      </c>
      <c r="S83" s="53">
        <f t="shared" si="32"/>
        <v>1100</v>
      </c>
      <c r="T83" s="53">
        <f t="shared" si="32"/>
        <v>1100</v>
      </c>
      <c r="U83" s="53">
        <f t="shared" si="32"/>
        <v>1100</v>
      </c>
      <c r="V83" s="53">
        <f t="shared" si="32"/>
        <v>1100</v>
      </c>
      <c r="W83" s="54">
        <f t="shared" si="32"/>
        <v>1100</v>
      </c>
      <c r="X83" s="54">
        <f t="shared" si="32"/>
        <v>1100</v>
      </c>
    </row>
    <row r="84" spans="1:24">
      <c r="A84" s="11" t="s">
        <v>0</v>
      </c>
      <c r="B84" s="30" t="s">
        <v>28</v>
      </c>
      <c r="C84" s="30">
        <v>2025</v>
      </c>
      <c r="D84" s="13" t="s">
        <v>309</v>
      </c>
      <c r="E84" s="84" t="s">
        <v>310</v>
      </c>
      <c r="F84" s="67" t="s">
        <v>114</v>
      </c>
      <c r="G84" s="15">
        <v>45924</v>
      </c>
      <c r="H84" s="40"/>
      <c r="I84" s="17">
        <v>1000</v>
      </c>
      <c r="J84" s="18">
        <f t="shared" si="22"/>
        <v>13300</v>
      </c>
      <c r="K84" s="19">
        <f>SUM(M84:V84)</f>
        <v>11100</v>
      </c>
      <c r="L84" s="20">
        <f t="shared" si="25"/>
        <v>2200</v>
      </c>
      <c r="M84" s="41">
        <v>2000</v>
      </c>
      <c r="N84" s="29">
        <v>0</v>
      </c>
      <c r="O84" s="53">
        <v>1000</v>
      </c>
      <c r="P84" s="53">
        <v>1700</v>
      </c>
      <c r="Q84" s="53">
        <v>1000</v>
      </c>
      <c r="R84" s="53">
        <v>1400</v>
      </c>
      <c r="S84" s="53">
        <f t="shared" si="32"/>
        <v>1000</v>
      </c>
      <c r="T84" s="53">
        <v>1000</v>
      </c>
      <c r="U84" s="63">
        <v>0</v>
      </c>
      <c r="V84" s="53">
        <v>2000</v>
      </c>
      <c r="W84" s="54">
        <v>1200</v>
      </c>
      <c r="X84" s="54">
        <f t="shared" si="32"/>
        <v>1000</v>
      </c>
    </row>
    <row r="85" spans="1:24">
      <c r="A85" s="11" t="s">
        <v>0</v>
      </c>
      <c r="B85" s="30" t="s">
        <v>67</v>
      </c>
      <c r="C85" s="30">
        <v>2025</v>
      </c>
      <c r="D85" s="13" t="s">
        <v>311</v>
      </c>
      <c r="E85" s="84" t="s">
        <v>312</v>
      </c>
      <c r="F85" s="15" t="s">
        <v>115</v>
      </c>
      <c r="G85" s="15">
        <v>45931</v>
      </c>
      <c r="H85" s="40" t="s">
        <v>69</v>
      </c>
      <c r="I85" s="17">
        <v>0</v>
      </c>
      <c r="J85" s="18">
        <f t="shared" si="22"/>
        <v>0</v>
      </c>
      <c r="K85" s="19">
        <f>+SUM(M85:O85)</f>
        <v>0</v>
      </c>
      <c r="L85" s="20">
        <f t="shared" si="25"/>
        <v>0</v>
      </c>
      <c r="M85" s="49"/>
      <c r="N85" s="48">
        <v>0</v>
      </c>
      <c r="O85" s="52">
        <v>0</v>
      </c>
      <c r="P85" s="52">
        <v>0</v>
      </c>
      <c r="Q85" s="52">
        <v>0</v>
      </c>
      <c r="R85" s="52">
        <v>0</v>
      </c>
      <c r="S85" s="52">
        <v>0</v>
      </c>
      <c r="T85" s="52">
        <v>0</v>
      </c>
      <c r="U85" s="52">
        <v>0</v>
      </c>
      <c r="V85" s="52">
        <v>0</v>
      </c>
      <c r="W85" s="69">
        <v>0</v>
      </c>
      <c r="X85" s="69">
        <v>0</v>
      </c>
    </row>
    <row r="86" spans="1:24">
      <c r="A86" s="11" t="s">
        <v>0</v>
      </c>
      <c r="B86" s="30" t="s">
        <v>28</v>
      </c>
      <c r="C86" s="30">
        <v>2025</v>
      </c>
      <c r="D86" s="13" t="s">
        <v>313</v>
      </c>
      <c r="E86" s="84" t="s">
        <v>314</v>
      </c>
      <c r="F86" s="67" t="s">
        <v>116</v>
      </c>
      <c r="G86" s="15">
        <v>45825</v>
      </c>
      <c r="H86" s="43"/>
      <c r="I86" s="17">
        <v>1100</v>
      </c>
      <c r="J86" s="18">
        <f t="shared" si="22"/>
        <v>14500</v>
      </c>
      <c r="K86" s="19">
        <f>SUM(M86:V86)</f>
        <v>12300</v>
      </c>
      <c r="L86" s="20">
        <f t="shared" si="25"/>
        <v>2200</v>
      </c>
      <c r="M86" s="41">
        <v>2400</v>
      </c>
      <c r="N86" s="22">
        <v>1100</v>
      </c>
      <c r="O86" s="53">
        <v>1100</v>
      </c>
      <c r="P86" s="53">
        <v>800</v>
      </c>
      <c r="Q86" s="53">
        <v>1400</v>
      </c>
      <c r="R86" s="53">
        <f t="shared" ref="R86:X86" si="33">$I86</f>
        <v>1100</v>
      </c>
      <c r="S86" s="53">
        <f t="shared" si="33"/>
        <v>1100</v>
      </c>
      <c r="T86" s="53">
        <f t="shared" si="33"/>
        <v>1100</v>
      </c>
      <c r="U86" s="53">
        <f t="shared" si="33"/>
        <v>1100</v>
      </c>
      <c r="V86" s="53">
        <f t="shared" si="33"/>
        <v>1100</v>
      </c>
      <c r="W86" s="54">
        <f t="shared" si="33"/>
        <v>1100</v>
      </c>
      <c r="X86" s="54">
        <f t="shared" si="33"/>
        <v>1100</v>
      </c>
    </row>
    <row r="87" spans="1:24">
      <c r="A87" s="11" t="s">
        <v>117</v>
      </c>
      <c r="B87" s="32" t="s">
        <v>20</v>
      </c>
      <c r="C87" s="32">
        <v>2025</v>
      </c>
      <c r="D87" s="13" t="s">
        <v>315</v>
      </c>
      <c r="E87" s="84" t="s">
        <v>316</v>
      </c>
      <c r="F87" s="70" t="s">
        <v>118</v>
      </c>
      <c r="G87" s="15">
        <v>45923</v>
      </c>
      <c r="H87" s="34" t="s">
        <v>41</v>
      </c>
      <c r="I87" s="17">
        <v>1300</v>
      </c>
      <c r="J87" s="18">
        <f t="shared" si="22"/>
        <v>10400</v>
      </c>
      <c r="K87" s="19">
        <f>SUM(M87:S87)</f>
        <v>10400</v>
      </c>
      <c r="L87" s="20">
        <f t="shared" si="25"/>
        <v>0</v>
      </c>
      <c r="M87" s="41">
        <v>2600</v>
      </c>
      <c r="N87" s="22">
        <v>1300</v>
      </c>
      <c r="O87" s="53">
        <v>1300</v>
      </c>
      <c r="P87" s="52">
        <v>1300</v>
      </c>
      <c r="Q87" s="52">
        <v>1300</v>
      </c>
      <c r="R87" s="52">
        <v>1300</v>
      </c>
      <c r="S87" s="52">
        <v>1300</v>
      </c>
      <c r="T87" s="71">
        <v>0</v>
      </c>
      <c r="U87" s="71">
        <v>0</v>
      </c>
      <c r="V87" s="71">
        <v>0</v>
      </c>
      <c r="W87" s="71">
        <v>0</v>
      </c>
      <c r="X87" s="56"/>
    </row>
    <row r="88" spans="1:24">
      <c r="A88" s="11" t="s">
        <v>39</v>
      </c>
      <c r="B88" s="32" t="s">
        <v>57</v>
      </c>
      <c r="C88" s="32">
        <v>2025</v>
      </c>
      <c r="D88" s="13" t="s">
        <v>317</v>
      </c>
      <c r="E88" s="84" t="s">
        <v>318</v>
      </c>
      <c r="F88" s="70" t="s">
        <v>119</v>
      </c>
      <c r="G88" s="15">
        <v>45904</v>
      </c>
      <c r="H88" s="34" t="s">
        <v>41</v>
      </c>
      <c r="I88" s="17">
        <v>900</v>
      </c>
      <c r="J88" s="18">
        <f t="shared" si="22"/>
        <v>1400</v>
      </c>
      <c r="K88" s="19">
        <f>SUM(M88:X88)</f>
        <v>1400</v>
      </c>
      <c r="L88" s="20">
        <f t="shared" si="25"/>
        <v>0</v>
      </c>
      <c r="M88" s="41">
        <f>500+900</f>
        <v>1400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</row>
    <row r="89" spans="1:24">
      <c r="A89" s="11" t="s">
        <v>0</v>
      </c>
      <c r="B89" s="30" t="s">
        <v>20</v>
      </c>
      <c r="C89" s="30">
        <v>2025</v>
      </c>
      <c r="D89" s="13" t="s">
        <v>319</v>
      </c>
      <c r="E89" s="84" t="s">
        <v>320</v>
      </c>
      <c r="F89" s="67" t="s">
        <v>120</v>
      </c>
      <c r="G89" s="15">
        <v>45812</v>
      </c>
      <c r="H89" s="43"/>
      <c r="I89" s="17">
        <v>1300</v>
      </c>
      <c r="J89" s="18">
        <f t="shared" si="22"/>
        <v>15600</v>
      </c>
      <c r="K89" s="19">
        <f t="shared" ref="K89:K90" si="34">SUM(M89:V89)</f>
        <v>14300</v>
      </c>
      <c r="L89" s="20">
        <f t="shared" si="25"/>
        <v>1300</v>
      </c>
      <c r="M89" s="41">
        <v>2600</v>
      </c>
      <c r="N89" s="22">
        <v>1300</v>
      </c>
      <c r="O89" s="53">
        <v>1300</v>
      </c>
      <c r="P89" s="53">
        <f t="shared" ref="P89:W90" si="35">$I89</f>
        <v>1300</v>
      </c>
      <c r="Q89" s="53">
        <f t="shared" si="35"/>
        <v>1300</v>
      </c>
      <c r="R89" s="53">
        <f t="shared" si="35"/>
        <v>1300</v>
      </c>
      <c r="S89" s="53">
        <f t="shared" si="35"/>
        <v>1300</v>
      </c>
      <c r="T89" s="53">
        <f t="shared" si="35"/>
        <v>1300</v>
      </c>
      <c r="U89" s="53">
        <v>1300</v>
      </c>
      <c r="V89" s="53">
        <f t="shared" si="35"/>
        <v>1300</v>
      </c>
      <c r="W89" s="54">
        <f t="shared" si="35"/>
        <v>1300</v>
      </c>
      <c r="X89" s="56"/>
    </row>
    <row r="90" spans="1:24">
      <c r="A90" s="11" t="s">
        <v>0</v>
      </c>
      <c r="B90" s="30" t="s">
        <v>20</v>
      </c>
      <c r="C90" s="30">
        <v>2025</v>
      </c>
      <c r="D90" s="13" t="s">
        <v>321</v>
      </c>
      <c r="E90" s="84" t="s">
        <v>322</v>
      </c>
      <c r="F90" s="67" t="s">
        <v>121</v>
      </c>
      <c r="G90" s="15">
        <v>45915</v>
      </c>
      <c r="H90" s="43"/>
      <c r="I90" s="17">
        <v>1300</v>
      </c>
      <c r="J90" s="18">
        <f t="shared" si="22"/>
        <v>15600</v>
      </c>
      <c r="K90" s="19">
        <f t="shared" si="34"/>
        <v>14300</v>
      </c>
      <c r="L90" s="20">
        <f t="shared" si="25"/>
        <v>1300</v>
      </c>
      <c r="M90" s="41">
        <v>2600</v>
      </c>
      <c r="N90" s="22">
        <v>1300</v>
      </c>
      <c r="O90" s="53">
        <v>1300</v>
      </c>
      <c r="P90" s="53">
        <f t="shared" si="35"/>
        <v>1300</v>
      </c>
      <c r="Q90" s="53">
        <f t="shared" si="35"/>
        <v>1300</v>
      </c>
      <c r="R90" s="53">
        <f t="shared" si="35"/>
        <v>1300</v>
      </c>
      <c r="S90" s="53">
        <f t="shared" si="35"/>
        <v>1300</v>
      </c>
      <c r="T90" s="53">
        <f t="shared" si="35"/>
        <v>1300</v>
      </c>
      <c r="U90" s="53">
        <f t="shared" si="35"/>
        <v>1300</v>
      </c>
      <c r="V90" s="53">
        <f t="shared" si="35"/>
        <v>1300</v>
      </c>
      <c r="W90" s="54">
        <f t="shared" si="35"/>
        <v>1300</v>
      </c>
      <c r="X90" s="56"/>
    </row>
    <row r="91" spans="1:24">
      <c r="A91" s="11" t="s">
        <v>0</v>
      </c>
      <c r="B91" s="30" t="s">
        <v>20</v>
      </c>
      <c r="C91" s="30">
        <v>2025</v>
      </c>
      <c r="D91" s="13" t="s">
        <v>323</v>
      </c>
      <c r="E91" s="84" t="s">
        <v>324</v>
      </c>
      <c r="F91" s="67" t="s">
        <v>122</v>
      </c>
      <c r="G91" s="15">
        <v>45870</v>
      </c>
      <c r="H91" s="43"/>
      <c r="I91" s="17">
        <v>1300</v>
      </c>
      <c r="J91" s="18">
        <f t="shared" si="22"/>
        <v>13000</v>
      </c>
      <c r="K91" s="19">
        <f>SUM(M91:R91)</f>
        <v>13000</v>
      </c>
      <c r="L91" s="20">
        <f t="shared" si="25"/>
        <v>0</v>
      </c>
      <c r="M91" s="41">
        <v>1000</v>
      </c>
      <c r="N91" s="22">
        <v>0</v>
      </c>
      <c r="O91" s="53">
        <v>0</v>
      </c>
      <c r="P91" s="63">
        <v>0</v>
      </c>
      <c r="Q91" s="53">
        <v>6000</v>
      </c>
      <c r="R91" s="53">
        <v>6000</v>
      </c>
      <c r="S91" s="53">
        <v>0</v>
      </c>
      <c r="T91" s="53">
        <v>0</v>
      </c>
      <c r="U91" s="53">
        <v>0</v>
      </c>
      <c r="V91" s="53">
        <v>0</v>
      </c>
      <c r="W91" s="55">
        <v>0</v>
      </c>
      <c r="X91" s="56"/>
    </row>
    <row r="92" spans="1:24">
      <c r="A92" s="11" t="s">
        <v>0</v>
      </c>
      <c r="B92" s="30" t="s">
        <v>20</v>
      </c>
      <c r="C92" s="30">
        <v>2025</v>
      </c>
      <c r="D92" s="13" t="s">
        <v>325</v>
      </c>
      <c r="E92" s="84" t="s">
        <v>326</v>
      </c>
      <c r="F92" s="67" t="s">
        <v>123</v>
      </c>
      <c r="G92" s="15">
        <v>45894</v>
      </c>
      <c r="H92" s="25" t="s">
        <v>44</v>
      </c>
      <c r="I92" s="17">
        <v>1300</v>
      </c>
      <c r="J92" s="18">
        <f t="shared" si="22"/>
        <v>15600</v>
      </c>
      <c r="K92" s="19">
        <f>SUM(M92:U92)</f>
        <v>13000</v>
      </c>
      <c r="L92" s="20">
        <f t="shared" si="25"/>
        <v>2600</v>
      </c>
      <c r="M92" s="41">
        <v>2600</v>
      </c>
      <c r="N92" s="22">
        <v>1300</v>
      </c>
      <c r="O92" s="53">
        <v>1300</v>
      </c>
      <c r="P92" s="53">
        <f t="shared" ref="P92:W93" si="36">$I92</f>
        <v>1300</v>
      </c>
      <c r="Q92" s="53">
        <f t="shared" si="36"/>
        <v>1300</v>
      </c>
      <c r="R92" s="53">
        <f t="shared" si="36"/>
        <v>1300</v>
      </c>
      <c r="S92" s="53">
        <f t="shared" si="36"/>
        <v>1300</v>
      </c>
      <c r="T92" s="53">
        <f t="shared" si="36"/>
        <v>1300</v>
      </c>
      <c r="U92" s="53">
        <f t="shared" si="36"/>
        <v>1300</v>
      </c>
      <c r="V92" s="63">
        <f t="shared" si="36"/>
        <v>1300</v>
      </c>
      <c r="W92" s="54">
        <f t="shared" si="36"/>
        <v>1300</v>
      </c>
      <c r="X92" s="56"/>
    </row>
    <row r="93" spans="1:24">
      <c r="A93" s="11" t="s">
        <v>0</v>
      </c>
      <c r="B93" s="30" t="s">
        <v>20</v>
      </c>
      <c r="C93" s="30">
        <v>2025</v>
      </c>
      <c r="D93" s="13" t="s">
        <v>327</v>
      </c>
      <c r="E93" s="84" t="s">
        <v>328</v>
      </c>
      <c r="F93" s="67" t="s">
        <v>124</v>
      </c>
      <c r="G93" s="15">
        <v>45825</v>
      </c>
      <c r="H93" s="43"/>
      <c r="I93" s="17">
        <v>1300</v>
      </c>
      <c r="J93" s="18">
        <f t="shared" si="22"/>
        <v>15600</v>
      </c>
      <c r="K93" s="19">
        <f>SUM(M93:V93)</f>
        <v>14300</v>
      </c>
      <c r="L93" s="20">
        <f t="shared" si="25"/>
        <v>1300</v>
      </c>
      <c r="M93" s="41">
        <v>2600</v>
      </c>
      <c r="N93" s="22">
        <v>1300</v>
      </c>
      <c r="O93" s="53">
        <v>1300</v>
      </c>
      <c r="P93" s="53">
        <f t="shared" si="36"/>
        <v>1300</v>
      </c>
      <c r="Q93" s="53">
        <f t="shared" si="36"/>
        <v>1300</v>
      </c>
      <c r="R93" s="53">
        <f t="shared" si="36"/>
        <v>1300</v>
      </c>
      <c r="S93" s="53">
        <f t="shared" si="36"/>
        <v>1300</v>
      </c>
      <c r="T93" s="53">
        <f t="shared" si="36"/>
        <v>1300</v>
      </c>
      <c r="U93" s="53">
        <f t="shared" si="36"/>
        <v>1300</v>
      </c>
      <c r="V93" s="53">
        <f t="shared" si="36"/>
        <v>1300</v>
      </c>
      <c r="W93" s="54">
        <f t="shared" si="36"/>
        <v>1300</v>
      </c>
      <c r="X93" s="56"/>
    </row>
    <row r="94" spans="1:24">
      <c r="A94" s="11" t="s">
        <v>39</v>
      </c>
      <c r="B94" s="32" t="s">
        <v>57</v>
      </c>
      <c r="C94" s="32">
        <v>2025</v>
      </c>
      <c r="D94" s="13" t="s">
        <v>329</v>
      </c>
      <c r="E94" s="84" t="s">
        <v>330</v>
      </c>
      <c r="F94" s="70" t="s">
        <v>125</v>
      </c>
      <c r="G94" s="15">
        <v>45929</v>
      </c>
      <c r="H94" s="34" t="s">
        <v>41</v>
      </c>
      <c r="I94" s="17">
        <v>900</v>
      </c>
      <c r="J94" s="18">
        <f t="shared" si="22"/>
        <v>2500</v>
      </c>
      <c r="K94" s="19">
        <f>SUM(M94:X94)</f>
        <v>2500</v>
      </c>
      <c r="L94" s="20">
        <f t="shared" si="25"/>
        <v>0</v>
      </c>
      <c r="M94" s="41">
        <f>300+900+400</f>
        <v>1600</v>
      </c>
      <c r="N94" s="22">
        <v>900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</row>
    <row r="95" spans="1:24">
      <c r="A95" s="11" t="s">
        <v>117</v>
      </c>
      <c r="B95" s="32" t="s">
        <v>20</v>
      </c>
      <c r="C95" s="32">
        <v>2025</v>
      </c>
      <c r="D95" s="13" t="s">
        <v>331</v>
      </c>
      <c r="E95" s="84" t="s">
        <v>332</v>
      </c>
      <c r="F95" s="70" t="s">
        <v>126</v>
      </c>
      <c r="G95" s="15">
        <v>45937</v>
      </c>
      <c r="H95" s="34" t="s">
        <v>41</v>
      </c>
      <c r="I95" s="17">
        <v>1300</v>
      </c>
      <c r="J95" s="18">
        <f t="shared" si="22"/>
        <v>10400</v>
      </c>
      <c r="K95" s="19">
        <f>SUM(M95:T95)</f>
        <v>10400</v>
      </c>
      <c r="L95" s="20">
        <f t="shared" si="25"/>
        <v>0</v>
      </c>
      <c r="M95" s="41">
        <v>1300</v>
      </c>
      <c r="N95" s="22">
        <v>1300</v>
      </c>
      <c r="O95" s="62">
        <v>1300</v>
      </c>
      <c r="P95" s="52">
        <v>1300</v>
      </c>
      <c r="Q95" s="52">
        <v>1300</v>
      </c>
      <c r="R95" s="52">
        <v>1300</v>
      </c>
      <c r="S95" s="52">
        <v>1300</v>
      </c>
      <c r="T95" s="52">
        <v>1300</v>
      </c>
      <c r="U95" s="71">
        <v>0</v>
      </c>
      <c r="V95" s="71">
        <v>0</v>
      </c>
      <c r="W95" s="71">
        <v>0</v>
      </c>
      <c r="X95" s="56"/>
    </row>
    <row r="96" spans="1:24">
      <c r="A96" s="11" t="s">
        <v>0</v>
      </c>
      <c r="B96" s="30" t="s">
        <v>20</v>
      </c>
      <c r="C96" s="30">
        <v>2025</v>
      </c>
      <c r="D96" s="13" t="s">
        <v>333</v>
      </c>
      <c r="E96" s="84" t="s">
        <v>334</v>
      </c>
      <c r="F96" s="67" t="s">
        <v>127</v>
      </c>
      <c r="G96" s="15">
        <v>45923</v>
      </c>
      <c r="H96" s="40"/>
      <c r="I96" s="17">
        <v>1300</v>
      </c>
      <c r="J96" s="18">
        <f t="shared" si="22"/>
        <v>15600</v>
      </c>
      <c r="K96" s="19">
        <f>SUM(M96:V96)</f>
        <v>14300</v>
      </c>
      <c r="L96" s="20">
        <f t="shared" si="25"/>
        <v>1300</v>
      </c>
      <c r="M96" s="41">
        <v>2600</v>
      </c>
      <c r="N96" s="22">
        <v>1300</v>
      </c>
      <c r="O96" s="53">
        <v>1300</v>
      </c>
      <c r="P96" s="52">
        <v>1300</v>
      </c>
      <c r="Q96" s="52">
        <v>1300</v>
      </c>
      <c r="R96" s="52">
        <v>1300</v>
      </c>
      <c r="S96" s="52">
        <v>1300</v>
      </c>
      <c r="T96" s="52">
        <v>1300</v>
      </c>
      <c r="U96" s="52">
        <v>1300</v>
      </c>
      <c r="V96" s="52">
        <v>1300</v>
      </c>
      <c r="W96" s="57">
        <v>1300</v>
      </c>
      <c r="X96" s="56"/>
    </row>
    <row r="97" spans="1:24">
      <c r="A97" s="11" t="s">
        <v>39</v>
      </c>
      <c r="B97" s="32" t="s">
        <v>28</v>
      </c>
      <c r="C97" s="32">
        <v>2025</v>
      </c>
      <c r="D97" s="13" t="s">
        <v>335</v>
      </c>
      <c r="E97" s="84" t="s">
        <v>336</v>
      </c>
      <c r="F97" s="70" t="s">
        <v>128</v>
      </c>
      <c r="G97" s="15">
        <v>46006</v>
      </c>
      <c r="H97" s="34" t="s">
        <v>41</v>
      </c>
      <c r="I97" s="17">
        <v>1000</v>
      </c>
      <c r="J97" s="18">
        <f t="shared" si="22"/>
        <v>2100</v>
      </c>
      <c r="K97" s="19">
        <f>SUM(M97:X97)</f>
        <v>2100</v>
      </c>
      <c r="L97" s="20">
        <f t="shared" si="25"/>
        <v>0</v>
      </c>
      <c r="M97" s="72">
        <v>0</v>
      </c>
      <c r="N97" s="24">
        <v>0</v>
      </c>
      <c r="O97" s="24">
        <v>0</v>
      </c>
      <c r="P97" s="53">
        <v>2100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</row>
    <row r="98" spans="1:24">
      <c r="A98" s="11" t="s">
        <v>0</v>
      </c>
      <c r="B98" s="30" t="s">
        <v>28</v>
      </c>
      <c r="C98" s="30">
        <v>2025</v>
      </c>
      <c r="D98" s="13" t="s">
        <v>337</v>
      </c>
      <c r="E98" s="84" t="s">
        <v>338</v>
      </c>
      <c r="F98" s="67" t="s">
        <v>129</v>
      </c>
      <c r="G98" s="15">
        <v>46006</v>
      </c>
      <c r="H98" s="43"/>
      <c r="I98" s="17">
        <v>1000</v>
      </c>
      <c r="J98" s="18">
        <f t="shared" si="22"/>
        <v>11000</v>
      </c>
      <c r="K98" s="19">
        <f>SUM(M98:V98)</f>
        <v>9000</v>
      </c>
      <c r="L98" s="20">
        <f t="shared" si="25"/>
        <v>2000</v>
      </c>
      <c r="M98" s="72">
        <v>0</v>
      </c>
      <c r="N98" s="24">
        <v>0</v>
      </c>
      <c r="O98" s="24">
        <v>0</v>
      </c>
      <c r="P98" s="53">
        <v>1800</v>
      </c>
      <c r="Q98" s="52">
        <v>1400</v>
      </c>
      <c r="R98" s="52">
        <v>1000</v>
      </c>
      <c r="S98" s="52">
        <v>1000</v>
      </c>
      <c r="T98" s="52">
        <v>1000</v>
      </c>
      <c r="U98" s="52">
        <v>1700</v>
      </c>
      <c r="V98" s="52">
        <v>1100</v>
      </c>
      <c r="W98" s="73">
        <v>1000</v>
      </c>
      <c r="X98" s="73">
        <v>1000</v>
      </c>
    </row>
    <row r="99" spans="1:24">
      <c r="A99" s="11" t="s">
        <v>0</v>
      </c>
      <c r="B99" s="30" t="s">
        <v>20</v>
      </c>
      <c r="C99" s="30">
        <v>2025</v>
      </c>
      <c r="D99" s="13" t="s">
        <v>339</v>
      </c>
      <c r="E99" s="84" t="s">
        <v>340</v>
      </c>
      <c r="F99" s="67" t="s">
        <v>130</v>
      </c>
      <c r="G99" s="15">
        <v>46010</v>
      </c>
      <c r="H99" s="43"/>
      <c r="I99" s="17">
        <v>1300</v>
      </c>
      <c r="J99" s="18">
        <f t="shared" si="22"/>
        <v>11700</v>
      </c>
      <c r="K99" s="19">
        <f>SUM(M99:V99)</f>
        <v>10400</v>
      </c>
      <c r="L99" s="20">
        <f t="shared" si="25"/>
        <v>1300</v>
      </c>
      <c r="M99" s="72">
        <v>0</v>
      </c>
      <c r="N99" s="24">
        <v>0</v>
      </c>
      <c r="O99" s="24">
        <v>0</v>
      </c>
      <c r="P99" s="53">
        <v>600</v>
      </c>
      <c r="Q99" s="52">
        <v>3300</v>
      </c>
      <c r="R99" s="52">
        <v>1300</v>
      </c>
      <c r="S99" s="52">
        <v>1300</v>
      </c>
      <c r="T99" s="52">
        <v>1300</v>
      </c>
      <c r="U99" s="52">
        <v>1300</v>
      </c>
      <c r="V99" s="52">
        <v>1300</v>
      </c>
      <c r="W99" s="73">
        <v>1300</v>
      </c>
      <c r="X99" s="56"/>
    </row>
    <row r="100" spans="1:24">
      <c r="A100" s="11" t="s">
        <v>0</v>
      </c>
      <c r="B100" s="30" t="s">
        <v>57</v>
      </c>
      <c r="C100" s="30">
        <v>2025</v>
      </c>
      <c r="D100" s="13" t="s">
        <v>341</v>
      </c>
      <c r="E100" s="84" t="s">
        <v>342</v>
      </c>
      <c r="F100" s="74" t="s">
        <v>131</v>
      </c>
      <c r="G100" s="15">
        <v>46010</v>
      </c>
      <c r="H100" s="43"/>
      <c r="I100" s="17">
        <v>900</v>
      </c>
      <c r="J100" s="18">
        <f t="shared" si="22"/>
        <v>9400</v>
      </c>
      <c r="K100" s="19">
        <f>SUM(M100:U100)</f>
        <v>8500</v>
      </c>
      <c r="L100" s="20">
        <f t="shared" si="25"/>
        <v>900</v>
      </c>
      <c r="M100" s="72">
        <v>0</v>
      </c>
      <c r="N100" s="24">
        <v>0</v>
      </c>
      <c r="O100" s="24">
        <v>0</v>
      </c>
      <c r="P100" s="53">
        <v>1300</v>
      </c>
      <c r="Q100" s="52">
        <v>1800</v>
      </c>
      <c r="R100" s="52">
        <v>900</v>
      </c>
      <c r="S100" s="52">
        <v>900</v>
      </c>
      <c r="T100" s="52">
        <v>900</v>
      </c>
      <c r="U100" s="52">
        <v>2700</v>
      </c>
      <c r="V100" s="52">
        <v>0</v>
      </c>
      <c r="W100" s="52">
        <v>0</v>
      </c>
      <c r="X100" s="73">
        <v>900</v>
      </c>
    </row>
    <row r="101" spans="1:24">
      <c r="A101" s="75" t="s">
        <v>0</v>
      </c>
      <c r="B101" s="30" t="s">
        <v>28</v>
      </c>
      <c r="C101" s="30">
        <v>2025</v>
      </c>
      <c r="D101" s="13" t="s">
        <v>343</v>
      </c>
      <c r="E101" s="84" t="s">
        <v>344</v>
      </c>
      <c r="F101" s="39" t="s">
        <v>132</v>
      </c>
      <c r="G101" s="15">
        <v>46020</v>
      </c>
      <c r="H101" s="38"/>
      <c r="I101" s="17">
        <v>1100</v>
      </c>
      <c r="J101" s="18">
        <f>SUM(M101:X101)</f>
        <v>10000</v>
      </c>
      <c r="K101" s="19">
        <f>SUM(M101:V101)</f>
        <v>8000</v>
      </c>
      <c r="L101" s="20">
        <f t="shared" si="25"/>
        <v>2000</v>
      </c>
      <c r="M101" s="72">
        <v>0</v>
      </c>
      <c r="N101" s="24">
        <v>0</v>
      </c>
      <c r="O101" s="24">
        <v>0</v>
      </c>
      <c r="P101" s="22">
        <v>2000</v>
      </c>
      <c r="Q101" s="22">
        <v>1000</v>
      </c>
      <c r="R101" s="22">
        <v>1000</v>
      </c>
      <c r="S101" s="22">
        <v>1000</v>
      </c>
      <c r="T101" s="22">
        <v>1000</v>
      </c>
      <c r="U101" s="22">
        <v>1000</v>
      </c>
      <c r="V101" s="22">
        <v>1000</v>
      </c>
      <c r="W101" s="23">
        <v>1000</v>
      </c>
      <c r="X101" s="23">
        <v>1000</v>
      </c>
    </row>
    <row r="102" spans="1:24">
      <c r="A102" s="75" t="s">
        <v>0</v>
      </c>
      <c r="B102" s="30" t="s">
        <v>57</v>
      </c>
      <c r="C102" s="30">
        <v>2025</v>
      </c>
      <c r="D102" s="13" t="s">
        <v>345</v>
      </c>
      <c r="E102" s="84" t="s">
        <v>346</v>
      </c>
      <c r="F102" s="39" t="s">
        <v>133</v>
      </c>
      <c r="G102" s="15">
        <v>46021</v>
      </c>
      <c r="H102" s="38"/>
      <c r="I102" s="17">
        <v>900</v>
      </c>
      <c r="J102" s="18">
        <f>SUM(N102:X102)</f>
        <v>9400</v>
      </c>
      <c r="K102" s="19">
        <f>SUM(M102:V102)</f>
        <v>7600</v>
      </c>
      <c r="L102" s="20">
        <f t="shared" si="25"/>
        <v>1800</v>
      </c>
      <c r="M102" s="72">
        <v>0</v>
      </c>
      <c r="N102" s="24">
        <v>0</v>
      </c>
      <c r="O102" s="24">
        <v>0</v>
      </c>
      <c r="P102" s="76">
        <f>1300+900</f>
        <v>2200</v>
      </c>
      <c r="Q102" s="62">
        <v>900</v>
      </c>
      <c r="R102" s="62">
        <v>900</v>
      </c>
      <c r="S102" s="62">
        <v>900</v>
      </c>
      <c r="T102" s="62">
        <v>900</v>
      </c>
      <c r="U102" s="62">
        <v>900</v>
      </c>
      <c r="V102" s="52">
        <v>900</v>
      </c>
      <c r="W102" s="73">
        <v>900</v>
      </c>
      <c r="X102" s="73">
        <v>900</v>
      </c>
    </row>
    <row r="103" spans="1:24">
      <c r="A103" s="75" t="s">
        <v>39</v>
      </c>
      <c r="B103" s="32" t="s">
        <v>57</v>
      </c>
      <c r="C103" s="32">
        <v>2025</v>
      </c>
      <c r="D103" s="13" t="s">
        <v>347</v>
      </c>
      <c r="E103" s="84" t="s">
        <v>348</v>
      </c>
      <c r="F103" s="61" t="s">
        <v>134</v>
      </c>
      <c r="G103" s="15">
        <v>46006</v>
      </c>
      <c r="H103" s="34" t="s">
        <v>41</v>
      </c>
      <c r="I103" s="17">
        <v>900</v>
      </c>
      <c r="J103" s="18">
        <f>SUM(N103:X103)</f>
        <v>1900</v>
      </c>
      <c r="K103" s="19">
        <v>1900</v>
      </c>
      <c r="L103" s="77">
        <f t="shared" si="25"/>
        <v>0</v>
      </c>
      <c r="M103" s="72">
        <v>0</v>
      </c>
      <c r="N103" s="24">
        <v>0</v>
      </c>
      <c r="O103" s="24">
        <v>0</v>
      </c>
      <c r="P103" s="24">
        <v>0</v>
      </c>
      <c r="Q103" s="62">
        <v>1900</v>
      </c>
      <c r="R103" s="78">
        <v>0</v>
      </c>
      <c r="S103" s="78">
        <v>0</v>
      </c>
      <c r="T103" s="71">
        <v>0</v>
      </c>
      <c r="U103" s="71">
        <v>0</v>
      </c>
      <c r="V103" s="71">
        <v>0</v>
      </c>
      <c r="W103" s="71">
        <v>0</v>
      </c>
      <c r="X103" s="71">
        <v>0</v>
      </c>
    </row>
    <row r="104" spans="1:24">
      <c r="A104" s="75" t="s">
        <v>135</v>
      </c>
      <c r="B104" s="30" t="s">
        <v>57</v>
      </c>
      <c r="C104" s="30">
        <v>2025</v>
      </c>
      <c r="D104" s="13" t="s">
        <v>349</v>
      </c>
      <c r="E104" s="84" t="s">
        <v>350</v>
      </c>
      <c r="F104" s="39" t="s">
        <v>136</v>
      </c>
      <c r="G104" s="15">
        <v>46020</v>
      </c>
      <c r="H104" s="38" t="s">
        <v>137</v>
      </c>
      <c r="I104" s="17">
        <v>0</v>
      </c>
      <c r="J104" s="18">
        <f t="shared" ref="J104:J109" si="37">SUM(N104:X104)</f>
        <v>0</v>
      </c>
      <c r="K104" s="79">
        <v>0</v>
      </c>
      <c r="L104" s="20">
        <f t="shared" si="25"/>
        <v>0</v>
      </c>
      <c r="M104" s="41">
        <v>0</v>
      </c>
      <c r="N104" s="52">
        <v>0</v>
      </c>
      <c r="O104" s="52">
        <v>0</v>
      </c>
      <c r="P104" s="52">
        <v>0</v>
      </c>
      <c r="Q104" s="52">
        <v>0</v>
      </c>
      <c r="R104" s="52">
        <v>0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2">
        <v>0</v>
      </c>
    </row>
    <row r="105" spans="1:24">
      <c r="A105" s="75" t="s">
        <v>135</v>
      </c>
      <c r="B105" s="30" t="s">
        <v>20</v>
      </c>
      <c r="C105" s="30">
        <v>2025</v>
      </c>
      <c r="D105" s="13" t="s">
        <v>351</v>
      </c>
      <c r="E105" s="84" t="s">
        <v>352</v>
      </c>
      <c r="F105" s="39" t="s">
        <v>138</v>
      </c>
      <c r="G105" s="15">
        <v>46020</v>
      </c>
      <c r="H105" s="38" t="s">
        <v>137</v>
      </c>
      <c r="I105" s="17">
        <v>0</v>
      </c>
      <c r="J105" s="18">
        <f t="shared" si="37"/>
        <v>0</v>
      </c>
      <c r="K105" s="79">
        <v>0</v>
      </c>
      <c r="L105" s="20">
        <f t="shared" si="25"/>
        <v>0</v>
      </c>
      <c r="M105" s="41">
        <v>0</v>
      </c>
      <c r="N105" s="52">
        <v>0</v>
      </c>
      <c r="O105" s="52">
        <v>0</v>
      </c>
      <c r="P105" s="52">
        <v>0</v>
      </c>
      <c r="Q105" s="52">
        <v>0</v>
      </c>
      <c r="R105" s="52">
        <v>0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2">
        <v>0</v>
      </c>
    </row>
    <row r="106" spans="1:24">
      <c r="A106" s="75" t="s">
        <v>135</v>
      </c>
      <c r="B106" s="30" t="s">
        <v>20</v>
      </c>
      <c r="C106" s="30">
        <v>2025</v>
      </c>
      <c r="D106" s="13" t="s">
        <v>353</v>
      </c>
      <c r="E106" s="84" t="s">
        <v>354</v>
      </c>
      <c r="F106" s="39" t="s">
        <v>139</v>
      </c>
      <c r="G106" s="15">
        <v>46020</v>
      </c>
      <c r="H106" s="38" t="s">
        <v>137</v>
      </c>
      <c r="I106" s="17">
        <v>0</v>
      </c>
      <c r="J106" s="18">
        <f t="shared" si="37"/>
        <v>0</v>
      </c>
      <c r="K106" s="79">
        <v>0</v>
      </c>
      <c r="L106" s="20">
        <f t="shared" si="25"/>
        <v>0</v>
      </c>
      <c r="M106" s="41">
        <v>0</v>
      </c>
      <c r="N106" s="52">
        <v>0</v>
      </c>
      <c r="O106" s="52">
        <v>0</v>
      </c>
      <c r="P106" s="52">
        <v>0</v>
      </c>
      <c r="Q106" s="52">
        <v>0</v>
      </c>
      <c r="R106" s="52">
        <v>0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2">
        <v>0</v>
      </c>
    </row>
    <row r="107" spans="1:24">
      <c r="A107" s="75" t="s">
        <v>135</v>
      </c>
      <c r="B107" s="30" t="s">
        <v>20</v>
      </c>
      <c r="C107" s="30">
        <v>2025</v>
      </c>
      <c r="D107" s="13" t="s">
        <v>355</v>
      </c>
      <c r="E107" s="84" t="s">
        <v>356</v>
      </c>
      <c r="F107" s="39" t="s">
        <v>140</v>
      </c>
      <c r="G107" s="15">
        <v>46020</v>
      </c>
      <c r="H107" s="38" t="s">
        <v>137</v>
      </c>
      <c r="I107" s="17">
        <v>0</v>
      </c>
      <c r="J107" s="18">
        <f t="shared" si="37"/>
        <v>0</v>
      </c>
      <c r="K107" s="79">
        <v>0</v>
      </c>
      <c r="L107" s="20">
        <f t="shared" si="25"/>
        <v>0</v>
      </c>
      <c r="M107" s="41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</row>
    <row r="108" spans="1:24">
      <c r="A108" s="75" t="s">
        <v>135</v>
      </c>
      <c r="B108" s="30" t="s">
        <v>20</v>
      </c>
      <c r="C108" s="30">
        <v>2025</v>
      </c>
      <c r="D108" s="13" t="s">
        <v>357</v>
      </c>
      <c r="E108" s="84" t="s">
        <v>358</v>
      </c>
      <c r="F108" s="39" t="s">
        <v>141</v>
      </c>
      <c r="G108" s="15">
        <v>46020</v>
      </c>
      <c r="H108" s="38" t="s">
        <v>137</v>
      </c>
      <c r="I108" s="17">
        <v>0</v>
      </c>
      <c r="J108" s="18">
        <f t="shared" si="37"/>
        <v>0</v>
      </c>
      <c r="K108" s="79">
        <v>0</v>
      </c>
      <c r="L108" s="20">
        <f t="shared" si="25"/>
        <v>0</v>
      </c>
      <c r="M108" s="41">
        <v>0</v>
      </c>
      <c r="N108" s="52">
        <v>0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2">
        <v>0</v>
      </c>
    </row>
    <row r="109" spans="1:24">
      <c r="A109" s="11" t="s">
        <v>39</v>
      </c>
      <c r="B109" s="32" t="s">
        <v>20</v>
      </c>
      <c r="C109" s="32">
        <v>2025</v>
      </c>
      <c r="D109" s="13" t="s">
        <v>359</v>
      </c>
      <c r="E109" s="84" t="s">
        <v>360</v>
      </c>
      <c r="F109" s="44" t="s">
        <v>142</v>
      </c>
      <c r="G109" s="15">
        <v>46006</v>
      </c>
      <c r="H109" s="34" t="s">
        <v>41</v>
      </c>
      <c r="I109" s="17">
        <v>1300</v>
      </c>
      <c r="J109" s="18">
        <f t="shared" si="37"/>
        <v>2600</v>
      </c>
      <c r="K109" s="19">
        <f>SUM(M109:X109)</f>
        <v>2600</v>
      </c>
      <c r="L109" s="20">
        <f t="shared" si="25"/>
        <v>0</v>
      </c>
      <c r="M109" s="72">
        <v>0</v>
      </c>
      <c r="N109" s="24">
        <v>0</v>
      </c>
      <c r="O109" s="24">
        <v>0</v>
      </c>
      <c r="P109" s="52">
        <v>2600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</row>
    <row r="110" spans="1:24">
      <c r="A110" s="11"/>
      <c r="B110" s="12"/>
      <c r="C110" s="12"/>
      <c r="D110" s="12"/>
      <c r="E110" s="12"/>
      <c r="F110" s="12"/>
      <c r="G110" s="12"/>
      <c r="H110" s="80"/>
      <c r="I110" s="18"/>
      <c r="J110" s="38"/>
      <c r="K110" s="62"/>
      <c r="L110" s="38"/>
      <c r="M110" s="73"/>
      <c r="N110" s="23"/>
      <c r="O110" s="38"/>
      <c r="P110" s="38"/>
      <c r="Q110" s="38"/>
      <c r="R110" s="38"/>
      <c r="S110" s="38"/>
      <c r="T110" s="38"/>
      <c r="U110" s="38"/>
      <c r="V110" s="38"/>
      <c r="W110" s="81"/>
      <c r="X110" s="81"/>
    </row>
    <row r="111" spans="1:24">
      <c r="A111" s="11"/>
      <c r="B111" s="12"/>
      <c r="C111" s="12"/>
      <c r="D111" s="12"/>
      <c r="E111" s="12"/>
      <c r="F111" s="12"/>
      <c r="G111" s="82"/>
      <c r="H111" s="80"/>
      <c r="I111" s="18"/>
      <c r="J111" s="38"/>
      <c r="K111" s="62"/>
      <c r="L111" s="38"/>
      <c r="M111" s="73"/>
      <c r="N111" s="23"/>
      <c r="O111" s="38"/>
      <c r="P111" s="38"/>
      <c r="Q111" s="38"/>
      <c r="R111" s="38"/>
      <c r="S111" s="38"/>
      <c r="T111" s="38"/>
      <c r="U111" s="38"/>
      <c r="V111" s="38"/>
      <c r="W111" s="81"/>
      <c r="X111" s="81"/>
    </row>
    <row r="112" spans="1:24">
      <c r="A112" s="11"/>
      <c r="B112" s="12"/>
      <c r="C112" s="12"/>
      <c r="D112" s="12"/>
      <c r="E112" s="12"/>
      <c r="F112" s="12"/>
      <c r="G112" s="82"/>
      <c r="H112" s="80"/>
      <c r="I112" s="18"/>
      <c r="J112" s="38"/>
      <c r="K112" s="62"/>
      <c r="L112" s="38"/>
      <c r="M112" s="73"/>
      <c r="N112" s="23"/>
      <c r="O112" s="38"/>
      <c r="P112" s="38"/>
      <c r="Q112" s="38"/>
      <c r="R112" s="38"/>
      <c r="S112" s="38"/>
      <c r="T112" s="38"/>
      <c r="U112" s="38"/>
      <c r="V112" s="38"/>
      <c r="W112" s="81"/>
      <c r="X112" s="81"/>
    </row>
    <row r="113" spans="1:24">
      <c r="A113" s="11"/>
      <c r="B113" s="12"/>
      <c r="C113" s="12"/>
      <c r="D113" s="12"/>
      <c r="E113" s="12"/>
      <c r="F113" s="12"/>
      <c r="G113" s="82"/>
      <c r="H113" s="80"/>
      <c r="I113" s="18"/>
      <c r="J113" s="38"/>
      <c r="K113" s="62"/>
      <c r="L113" s="38"/>
      <c r="M113" s="73"/>
      <c r="N113" s="23"/>
      <c r="O113" s="38"/>
      <c r="P113" s="38"/>
      <c r="Q113" s="38"/>
      <c r="R113" s="38"/>
      <c r="S113" s="38"/>
      <c r="T113" s="38"/>
      <c r="U113" s="38"/>
      <c r="V113" s="38"/>
      <c r="W113" s="81"/>
      <c r="X113" s="81"/>
    </row>
    <row r="114" spans="1:24">
      <c r="A114" s="11"/>
      <c r="B114" s="12"/>
      <c r="C114" s="12"/>
      <c r="D114" s="12"/>
      <c r="E114" s="12"/>
      <c r="F114" s="12"/>
      <c r="G114" s="82"/>
      <c r="H114" s="80"/>
      <c r="I114" s="18"/>
      <c r="J114" s="38"/>
      <c r="K114" s="62"/>
      <c r="L114" s="38"/>
      <c r="M114" s="73"/>
      <c r="N114" s="23"/>
      <c r="O114" s="38"/>
      <c r="P114" s="38"/>
      <c r="Q114" s="38"/>
      <c r="R114" s="38"/>
      <c r="S114" s="38"/>
      <c r="T114" s="38"/>
      <c r="U114" s="38"/>
      <c r="V114" s="38"/>
      <c r="W114" s="81"/>
      <c r="X114" s="81"/>
    </row>
    <row r="115" spans="1:24">
      <c r="A115" s="11"/>
      <c r="B115" s="12"/>
      <c r="C115" s="12"/>
      <c r="D115" s="12"/>
      <c r="E115" s="12"/>
      <c r="F115" s="12"/>
      <c r="G115" s="82"/>
      <c r="H115" s="80"/>
      <c r="I115" s="18"/>
      <c r="J115" s="38"/>
      <c r="K115" s="62"/>
      <c r="L115" s="38"/>
      <c r="M115" s="73"/>
      <c r="N115" s="23"/>
      <c r="O115" s="38"/>
      <c r="P115" s="38"/>
      <c r="Q115" s="38"/>
      <c r="R115" s="38"/>
      <c r="S115" s="38"/>
      <c r="T115" s="38"/>
      <c r="U115" s="38"/>
      <c r="V115" s="38"/>
      <c r="W115" s="81"/>
      <c r="X115" s="81"/>
    </row>
    <row r="116" spans="1:24">
      <c r="A116" s="11"/>
      <c r="B116" s="12"/>
      <c r="C116" s="12"/>
      <c r="D116" s="38"/>
      <c r="E116" s="38"/>
      <c r="F116" s="83"/>
      <c r="G116" s="82"/>
      <c r="H116" s="38"/>
      <c r="I116" s="18"/>
      <c r="J116" s="38"/>
      <c r="K116" s="62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81"/>
      <c r="X116" s="81"/>
    </row>
    <row r="117" spans="1:24">
      <c r="A117" s="11"/>
      <c r="B117" s="12"/>
      <c r="C117" s="12"/>
      <c r="D117" s="38"/>
      <c r="E117" s="38"/>
      <c r="F117" s="83"/>
      <c r="G117" s="82"/>
      <c r="H117" s="38"/>
      <c r="I117" s="18"/>
      <c r="J117" s="38"/>
      <c r="K117" s="62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81"/>
      <c r="X117" s="81"/>
    </row>
    <row r="118" spans="1:24">
      <c r="A118" s="11"/>
      <c r="B118" s="12"/>
      <c r="C118" s="12"/>
      <c r="D118" s="38"/>
      <c r="E118" s="38"/>
      <c r="F118" s="83"/>
      <c r="G118" s="82"/>
      <c r="H118" s="38"/>
      <c r="I118" s="18"/>
      <c r="J118" s="38"/>
      <c r="K118" s="62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81"/>
      <c r="X118" s="81"/>
    </row>
    <row r="119" spans="1:24">
      <c r="A119" s="11"/>
      <c r="B119" s="12"/>
      <c r="C119" s="12"/>
      <c r="D119" s="38"/>
      <c r="E119" s="38"/>
      <c r="F119" s="83"/>
      <c r="G119" s="82"/>
      <c r="H119" s="38"/>
      <c r="I119" s="18"/>
      <c r="J119" s="38"/>
      <c r="K119" s="62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81"/>
      <c r="X119" s="81"/>
    </row>
    <row r="120" spans="1:24">
      <c r="A120" s="11"/>
      <c r="B120" s="12"/>
      <c r="C120" s="12"/>
      <c r="D120" s="38"/>
      <c r="E120" s="38"/>
      <c r="F120" s="83"/>
      <c r="G120" s="82"/>
      <c r="H120" s="38"/>
      <c r="I120" s="18"/>
      <c r="J120" s="38"/>
      <c r="K120" s="62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81"/>
      <c r="X120" s="81"/>
    </row>
  </sheetData>
  <autoFilter ref="A1:X1" xr:uid="{31991E24-C0EF-4C8A-9E1D-564BBC1C0F00}"/>
  <phoneticPr fontId="5" type="noConversion"/>
  <conditionalFormatting sqref="D116:E120 D1:E109">
    <cfRule type="duplicateValues" dxfId="52" priority="61"/>
  </conditionalFormatting>
  <conditionalFormatting sqref="D116:E120">
    <cfRule type="duplicateValues" dxfId="51" priority="58"/>
  </conditionalFormatting>
  <conditionalFormatting sqref="F51:F55 F58:F66 D116:E120 D1:E109">
    <cfRule type="duplicateValues" dxfId="50" priority="59"/>
  </conditionalFormatting>
  <conditionalFormatting sqref="F38">
    <cfRule type="duplicateValues" dxfId="49" priority="31"/>
    <cfRule type="duplicateValues" dxfId="48" priority="32"/>
    <cfRule type="duplicateValues" dxfId="47" priority="33"/>
    <cfRule type="duplicateValues" dxfId="46" priority="34"/>
  </conditionalFormatting>
  <conditionalFormatting sqref="F68">
    <cfRule type="duplicateValues" dxfId="45" priority="42"/>
    <cfRule type="duplicateValues" dxfId="44" priority="43"/>
    <cfRule type="duplicateValues" dxfId="43" priority="44"/>
    <cfRule type="duplicateValues" dxfId="42" priority="45"/>
  </conditionalFormatting>
  <conditionalFormatting sqref="F39:F41 F1:F28 F32:F37 F43:F50">
    <cfRule type="duplicateValues" dxfId="41" priority="52"/>
  </conditionalFormatting>
  <conditionalFormatting sqref="F100 F1:F41 F43:F56 F58:F74">
    <cfRule type="duplicateValues" dxfId="40" priority="26"/>
    <cfRule type="duplicateValues" dxfId="39" priority="27"/>
  </conditionalFormatting>
  <conditionalFormatting sqref="F116:F120 F1:F108">
    <cfRule type="duplicateValues" dxfId="38" priority="2"/>
    <cfRule type="duplicateValues" dxfId="37" priority="3"/>
  </conditionalFormatting>
  <conditionalFormatting sqref="F116:F120 F1:F109">
    <cfRule type="duplicateValues" dxfId="36" priority="1"/>
  </conditionalFormatting>
  <conditionalFormatting sqref="F29">
    <cfRule type="duplicateValues" dxfId="35" priority="50"/>
    <cfRule type="duplicateValues" dxfId="34" priority="51"/>
  </conditionalFormatting>
  <conditionalFormatting sqref="F30">
    <cfRule type="duplicateValues" dxfId="33" priority="48"/>
    <cfRule type="duplicateValues" dxfId="32" priority="49"/>
  </conditionalFormatting>
  <conditionalFormatting sqref="F31">
    <cfRule type="duplicateValues" dxfId="31" priority="46"/>
    <cfRule type="duplicateValues" dxfId="30" priority="47"/>
  </conditionalFormatting>
  <conditionalFormatting sqref="F39:F41 F1:F37 F43:F50">
    <cfRule type="duplicateValues" dxfId="29" priority="53"/>
    <cfRule type="duplicateValues" dxfId="28" priority="54"/>
  </conditionalFormatting>
  <conditionalFormatting sqref="F42">
    <cfRule type="duplicateValues" dxfId="27" priority="6"/>
  </conditionalFormatting>
  <conditionalFormatting sqref="F51:F55 F58:F66 D116:E120 D1:E109">
    <cfRule type="duplicateValues" dxfId="26" priority="55"/>
    <cfRule type="duplicateValues" dxfId="25" priority="56"/>
    <cfRule type="duplicateValues" dxfId="24" priority="57"/>
  </conditionalFormatting>
  <conditionalFormatting sqref="F57">
    <cfRule type="duplicateValues" dxfId="23" priority="5"/>
  </conditionalFormatting>
  <conditionalFormatting sqref="F70:F74 F67">
    <cfRule type="duplicateValues" dxfId="22" priority="66"/>
  </conditionalFormatting>
  <conditionalFormatting sqref="F75:F84 F86:F99">
    <cfRule type="duplicateValues" dxfId="21" priority="22"/>
    <cfRule type="duplicateValues" dxfId="20" priority="23"/>
    <cfRule type="duplicateValues" dxfId="19" priority="24"/>
    <cfRule type="duplicateValues" dxfId="18" priority="25"/>
  </conditionalFormatting>
  <conditionalFormatting sqref="F85">
    <cfRule type="duplicateValues" dxfId="17" priority="4"/>
  </conditionalFormatting>
  <conditionalFormatting sqref="F100">
    <cfRule type="duplicateValues" dxfId="16" priority="28"/>
    <cfRule type="duplicateValues" dxfId="15" priority="29"/>
  </conditionalFormatting>
  <conditionalFormatting sqref="F101:F104">
    <cfRule type="duplicateValues" dxfId="14" priority="20"/>
    <cfRule type="duplicateValues" dxfId="13" priority="21"/>
  </conditionalFormatting>
  <conditionalFormatting sqref="F101:F108">
    <cfRule type="duplicateValues" dxfId="12" priority="7"/>
  </conditionalFormatting>
  <conditionalFormatting sqref="F103">
    <cfRule type="duplicateValues" dxfId="11" priority="18"/>
    <cfRule type="duplicateValues" dxfId="10" priority="19"/>
  </conditionalFormatting>
  <conditionalFormatting sqref="F105"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</conditionalFormatting>
  <conditionalFormatting sqref="F106:F108">
    <cfRule type="duplicateValues" dxfId="4" priority="8"/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22DB-DAEF-40DC-84B8-CAAE6AC1C9D3}">
  <dimension ref="A2:T17"/>
  <sheetViews>
    <sheetView tabSelected="1" workbookViewId="0">
      <selection activeCell="C9" sqref="C9"/>
    </sheetView>
  </sheetViews>
  <sheetFormatPr baseColWidth="10" defaultRowHeight="14"/>
  <cols>
    <col min="1" max="1" width="15.1640625" customWidth="1"/>
    <col min="2" max="3" width="35.75" customWidth="1"/>
    <col min="4" max="5" width="22.5" customWidth="1"/>
    <col min="6" max="6" width="18.83203125" style="89" customWidth="1"/>
    <col min="7" max="7" width="22.4140625" style="89" customWidth="1"/>
    <col min="8" max="8" width="21.5" customWidth="1"/>
    <col min="9" max="9" width="17.25" style="89" customWidth="1"/>
    <col min="10" max="10" width="17.25" customWidth="1"/>
    <col min="11" max="11" width="23.08203125" customWidth="1"/>
    <col min="12" max="12" width="19.4140625" style="89" customWidth="1"/>
    <col min="13" max="13" width="31.9140625" style="89" customWidth="1"/>
    <col min="14" max="14" width="29.1640625" customWidth="1"/>
    <col min="15" max="15" width="25.25" customWidth="1"/>
    <col min="16" max="16" width="24.75" customWidth="1"/>
    <col min="17" max="17" width="26.33203125" style="89" customWidth="1"/>
    <col min="18" max="18" width="24.9140625" style="89" customWidth="1"/>
    <col min="19" max="19" width="23.08203125" customWidth="1"/>
    <col min="20" max="20" width="32.08203125" customWidth="1"/>
  </cols>
  <sheetData>
    <row r="2" spans="1:20">
      <c r="A2" s="85"/>
      <c r="B2" s="86" t="s">
        <v>362</v>
      </c>
      <c r="C2" s="87"/>
      <c r="D2" s="87"/>
      <c r="E2" s="87"/>
      <c r="F2" s="87"/>
      <c r="G2" s="87"/>
      <c r="H2" s="87"/>
      <c r="I2" s="87"/>
      <c r="J2" s="87"/>
      <c r="K2" s="88"/>
    </row>
    <row r="3" spans="1:20">
      <c r="A3" s="90"/>
      <c r="B3" s="91"/>
      <c r="C3" s="92"/>
      <c r="D3" s="92"/>
      <c r="E3" s="92"/>
      <c r="F3" s="92"/>
      <c r="G3" s="92"/>
      <c r="H3" s="92"/>
      <c r="I3" s="92"/>
      <c r="J3" s="92"/>
      <c r="K3" s="93"/>
    </row>
    <row r="4" spans="1:20">
      <c r="A4" s="90"/>
      <c r="B4" s="91"/>
      <c r="C4" s="92"/>
      <c r="D4" s="92"/>
      <c r="E4" s="92"/>
      <c r="F4" s="92"/>
      <c r="G4" s="92"/>
      <c r="H4" s="92"/>
      <c r="I4" s="92"/>
      <c r="J4" s="92"/>
      <c r="K4" s="93"/>
    </row>
    <row r="5" spans="1:20">
      <c r="A5" s="94"/>
      <c r="B5" s="95"/>
      <c r="C5" s="96"/>
      <c r="D5" s="96"/>
      <c r="E5" s="96"/>
      <c r="F5" s="96"/>
      <c r="G5" s="96"/>
      <c r="H5" s="96"/>
      <c r="I5" s="96"/>
      <c r="J5" s="96"/>
      <c r="K5" s="97"/>
    </row>
    <row r="8" spans="1:20" s="100" customFormat="1">
      <c r="A8" s="98" t="s">
        <v>363</v>
      </c>
      <c r="B8" s="98" t="s">
        <v>364</v>
      </c>
      <c r="C8" s="98" t="s">
        <v>365</v>
      </c>
      <c r="D8" s="98" t="s">
        <v>366</v>
      </c>
      <c r="E8" s="98" t="s">
        <v>367</v>
      </c>
      <c r="F8" s="98" t="s">
        <v>368</v>
      </c>
      <c r="G8" s="98" t="s">
        <v>369</v>
      </c>
      <c r="H8" s="98" t="s">
        <v>370</v>
      </c>
      <c r="I8" s="99" t="s">
        <v>371</v>
      </c>
      <c r="J8" s="98" t="s">
        <v>372</v>
      </c>
      <c r="K8" s="99" t="s">
        <v>373</v>
      </c>
      <c r="L8" s="98" t="s">
        <v>374</v>
      </c>
      <c r="M8" s="98" t="s">
        <v>375</v>
      </c>
      <c r="N8" s="98" t="s">
        <v>376</v>
      </c>
      <c r="O8" s="98" t="s">
        <v>377</v>
      </c>
      <c r="P8" s="98" t="s">
        <v>378</v>
      </c>
      <c r="Q8" s="98" t="s">
        <v>379</v>
      </c>
      <c r="R8" s="98" t="s">
        <v>380</v>
      </c>
      <c r="S8" s="98" t="s">
        <v>381</v>
      </c>
      <c r="T8" s="98" t="s">
        <v>382</v>
      </c>
    </row>
    <row r="9" spans="1:20" s="58" customFormat="1" ht="238">
      <c r="A9" s="101" t="s">
        <v>383</v>
      </c>
      <c r="B9" s="102" t="s">
        <v>384</v>
      </c>
      <c r="C9" s="102" t="s">
        <v>385</v>
      </c>
      <c r="D9" s="103" t="s">
        <v>386</v>
      </c>
      <c r="E9" s="104" t="s">
        <v>387</v>
      </c>
      <c r="F9" s="39">
        <v>20</v>
      </c>
      <c r="G9" s="39">
        <v>4</v>
      </c>
      <c r="H9" s="28" t="s">
        <v>388</v>
      </c>
      <c r="I9" s="39" t="s">
        <v>389</v>
      </c>
      <c r="J9" s="28" t="s">
        <v>390</v>
      </c>
      <c r="K9" s="28" t="s">
        <v>391</v>
      </c>
      <c r="L9" s="39" t="s">
        <v>392</v>
      </c>
      <c r="M9" s="105" t="s">
        <v>393</v>
      </c>
      <c r="N9" s="28" t="s">
        <v>394</v>
      </c>
      <c r="O9" s="28" t="s">
        <v>394</v>
      </c>
      <c r="P9" s="106" t="s">
        <v>395</v>
      </c>
      <c r="Q9" s="107" t="s">
        <v>396</v>
      </c>
      <c r="R9" s="107" t="s">
        <v>396</v>
      </c>
      <c r="S9" s="108" t="s">
        <v>397</v>
      </c>
      <c r="T9" s="109"/>
    </row>
    <row r="10" spans="1:20" s="58" customFormat="1" ht="56">
      <c r="A10" s="101" t="s">
        <v>398</v>
      </c>
      <c r="B10" s="102" t="s">
        <v>399</v>
      </c>
      <c r="C10" s="102"/>
      <c r="D10" s="103" t="s">
        <v>400</v>
      </c>
      <c r="E10" s="104" t="s">
        <v>401</v>
      </c>
      <c r="F10" s="39">
        <v>20</v>
      </c>
      <c r="G10" s="39">
        <v>2</v>
      </c>
      <c r="H10" s="28" t="s">
        <v>402</v>
      </c>
      <c r="I10" s="39" t="s">
        <v>403</v>
      </c>
      <c r="J10" s="28" t="s">
        <v>404</v>
      </c>
      <c r="K10" s="28" t="s">
        <v>405</v>
      </c>
      <c r="L10" s="105" t="s">
        <v>406</v>
      </c>
      <c r="M10" s="105" t="s">
        <v>393</v>
      </c>
      <c r="N10" s="28" t="s">
        <v>407</v>
      </c>
      <c r="O10" s="28" t="s">
        <v>408</v>
      </c>
      <c r="P10" s="106" t="s">
        <v>395</v>
      </c>
      <c r="Q10" s="110">
        <v>45767</v>
      </c>
      <c r="R10" s="110">
        <v>45767</v>
      </c>
      <c r="S10" s="108" t="s">
        <v>397</v>
      </c>
      <c r="T10" s="111" t="s">
        <v>409</v>
      </c>
    </row>
    <row r="11" spans="1:20" s="58" customFormat="1" ht="42">
      <c r="A11" s="101" t="s">
        <v>410</v>
      </c>
      <c r="B11" s="102" t="s">
        <v>411</v>
      </c>
      <c r="C11" s="102"/>
      <c r="D11" s="103" t="s">
        <v>412</v>
      </c>
      <c r="E11" s="104" t="s">
        <v>387</v>
      </c>
      <c r="F11" s="39">
        <v>20</v>
      </c>
      <c r="G11" s="39">
        <v>1</v>
      </c>
      <c r="H11" s="28" t="s">
        <v>388</v>
      </c>
      <c r="I11" s="39" t="s">
        <v>389</v>
      </c>
      <c r="J11" s="28" t="s">
        <v>390</v>
      </c>
      <c r="K11" s="28" t="s">
        <v>413</v>
      </c>
      <c r="L11" s="39" t="s">
        <v>414</v>
      </c>
      <c r="M11" s="105" t="s">
        <v>393</v>
      </c>
      <c r="N11" s="28" t="s">
        <v>394</v>
      </c>
      <c r="O11" s="28" t="s">
        <v>394</v>
      </c>
      <c r="P11" s="106" t="s">
        <v>395</v>
      </c>
      <c r="Q11" s="107" t="s">
        <v>396</v>
      </c>
      <c r="R11" s="107" t="s">
        <v>396</v>
      </c>
      <c r="S11" s="108" t="s">
        <v>397</v>
      </c>
      <c r="T11" s="28"/>
    </row>
    <row r="12" spans="1:20" s="58" customFormat="1" ht="56">
      <c r="A12" s="101" t="s">
        <v>415</v>
      </c>
      <c r="B12" s="102" t="s">
        <v>416</v>
      </c>
      <c r="C12" s="102"/>
      <c r="D12" s="103" t="s">
        <v>412</v>
      </c>
      <c r="E12" s="104" t="s">
        <v>417</v>
      </c>
      <c r="F12" s="39">
        <v>20</v>
      </c>
      <c r="G12" s="39">
        <v>1</v>
      </c>
      <c r="H12" s="28" t="s">
        <v>388</v>
      </c>
      <c r="I12" s="39" t="s">
        <v>418</v>
      </c>
      <c r="J12" s="28" t="s">
        <v>390</v>
      </c>
      <c r="K12" s="28" t="s">
        <v>419</v>
      </c>
      <c r="L12" s="105" t="s">
        <v>420</v>
      </c>
      <c r="M12" s="105" t="s">
        <v>393</v>
      </c>
      <c r="N12" s="28" t="s">
        <v>394</v>
      </c>
      <c r="O12" s="28" t="s">
        <v>394</v>
      </c>
      <c r="P12" s="106" t="s">
        <v>395</v>
      </c>
      <c r="Q12" s="107" t="s">
        <v>396</v>
      </c>
      <c r="R12" s="107" t="s">
        <v>396</v>
      </c>
      <c r="S12" s="108" t="s">
        <v>397</v>
      </c>
      <c r="T12" s="28"/>
    </row>
    <row r="13" spans="1:20" s="58" customFormat="1" ht="56">
      <c r="A13" s="101" t="s">
        <v>421</v>
      </c>
      <c r="B13" s="102" t="s">
        <v>422</v>
      </c>
      <c r="C13" s="102"/>
      <c r="D13" s="103" t="s">
        <v>412</v>
      </c>
      <c r="E13" s="104" t="s">
        <v>423</v>
      </c>
      <c r="F13" s="39">
        <v>20</v>
      </c>
      <c r="G13" s="39">
        <v>1</v>
      </c>
      <c r="H13" s="28" t="s">
        <v>388</v>
      </c>
      <c r="I13" s="39" t="s">
        <v>389</v>
      </c>
      <c r="J13" s="28" t="s">
        <v>390</v>
      </c>
      <c r="K13" s="28" t="s">
        <v>391</v>
      </c>
      <c r="L13" s="39" t="s">
        <v>424</v>
      </c>
      <c r="M13" s="105" t="s">
        <v>393</v>
      </c>
      <c r="N13" s="28" t="s">
        <v>407</v>
      </c>
      <c r="O13" s="28" t="s">
        <v>408</v>
      </c>
      <c r="P13" s="106" t="s">
        <v>395</v>
      </c>
      <c r="Q13" s="112">
        <v>45767</v>
      </c>
      <c r="R13" s="110">
        <v>45767</v>
      </c>
      <c r="S13" s="108" t="s">
        <v>397</v>
      </c>
      <c r="T13" s="111" t="s">
        <v>409</v>
      </c>
    </row>
    <row r="14" spans="1:20" s="58" customFormat="1" ht="42">
      <c r="A14" s="101" t="s">
        <v>425</v>
      </c>
      <c r="B14" s="102" t="s">
        <v>426</v>
      </c>
      <c r="C14" s="102"/>
      <c r="D14" s="103" t="s">
        <v>412</v>
      </c>
      <c r="E14" s="104" t="s">
        <v>427</v>
      </c>
      <c r="F14" s="39">
        <v>20</v>
      </c>
      <c r="G14" s="39">
        <v>1</v>
      </c>
      <c r="H14" s="28" t="s">
        <v>388</v>
      </c>
      <c r="I14" s="39" t="s">
        <v>428</v>
      </c>
      <c r="J14" s="28" t="s">
        <v>390</v>
      </c>
      <c r="K14" s="28" t="s">
        <v>391</v>
      </c>
      <c r="L14" s="39" t="s">
        <v>429</v>
      </c>
      <c r="M14" s="105" t="s">
        <v>393</v>
      </c>
      <c r="N14" s="28" t="s">
        <v>394</v>
      </c>
      <c r="O14" s="28" t="s">
        <v>394</v>
      </c>
      <c r="P14" s="106" t="s">
        <v>395</v>
      </c>
      <c r="Q14" s="107" t="s">
        <v>396</v>
      </c>
      <c r="R14" s="107" t="s">
        <v>396</v>
      </c>
      <c r="S14" s="108" t="s">
        <v>397</v>
      </c>
      <c r="T14" s="28"/>
    </row>
    <row r="15" spans="1:20" s="58" customFormat="1" ht="42">
      <c r="A15" s="101" t="s">
        <v>430</v>
      </c>
      <c r="B15" s="102" t="s">
        <v>431</v>
      </c>
      <c r="C15" s="102"/>
      <c r="D15" s="103" t="s">
        <v>412</v>
      </c>
      <c r="E15" s="104" t="s">
        <v>432</v>
      </c>
      <c r="F15" s="39">
        <v>20</v>
      </c>
      <c r="G15" s="39">
        <v>1</v>
      </c>
      <c r="H15" s="28" t="s">
        <v>388</v>
      </c>
      <c r="I15" s="39" t="s">
        <v>428</v>
      </c>
      <c r="J15" s="28" t="s">
        <v>390</v>
      </c>
      <c r="K15" s="28" t="s">
        <v>391</v>
      </c>
      <c r="L15" s="39" t="s">
        <v>429</v>
      </c>
      <c r="M15" s="105" t="s">
        <v>393</v>
      </c>
      <c r="N15" s="28" t="s">
        <v>394</v>
      </c>
      <c r="O15" s="28" t="s">
        <v>394</v>
      </c>
      <c r="P15" s="106" t="s">
        <v>395</v>
      </c>
      <c r="Q15" s="107" t="s">
        <v>396</v>
      </c>
      <c r="R15" s="107" t="s">
        <v>396</v>
      </c>
      <c r="S15" s="108" t="s">
        <v>397</v>
      </c>
      <c r="T15" s="28"/>
    </row>
    <row r="16" spans="1:20" s="58" customFormat="1" ht="56">
      <c r="A16" s="101" t="s">
        <v>433</v>
      </c>
      <c r="B16" s="102" t="s">
        <v>434</v>
      </c>
      <c r="C16" s="102"/>
      <c r="D16" s="103" t="s">
        <v>412</v>
      </c>
      <c r="E16" s="28" t="s">
        <v>435</v>
      </c>
      <c r="F16" s="39">
        <v>20</v>
      </c>
      <c r="G16" s="39">
        <v>1</v>
      </c>
      <c r="H16" s="28" t="s">
        <v>388</v>
      </c>
      <c r="I16" s="39" t="s">
        <v>389</v>
      </c>
      <c r="J16" s="28" t="s">
        <v>390</v>
      </c>
      <c r="K16" s="28" t="s">
        <v>391</v>
      </c>
      <c r="L16" s="39" t="s">
        <v>424</v>
      </c>
      <c r="M16" s="105" t="s">
        <v>393</v>
      </c>
      <c r="N16" s="28" t="s">
        <v>407</v>
      </c>
      <c r="O16" s="28" t="s">
        <v>408</v>
      </c>
      <c r="P16" s="106" t="s">
        <v>395</v>
      </c>
      <c r="Q16" s="112">
        <v>45767</v>
      </c>
      <c r="R16" s="110">
        <v>45767</v>
      </c>
      <c r="S16" s="108" t="s">
        <v>397</v>
      </c>
      <c r="T16" s="111" t="s">
        <v>409</v>
      </c>
    </row>
    <row r="17" spans="1:20" s="58" customFormat="1" ht="42">
      <c r="A17" s="101" t="s">
        <v>436</v>
      </c>
      <c r="B17" s="102" t="s">
        <v>437</v>
      </c>
      <c r="C17" s="102"/>
      <c r="D17" s="103" t="s">
        <v>412</v>
      </c>
      <c r="E17" s="28" t="s">
        <v>438</v>
      </c>
      <c r="F17" s="39">
        <v>20</v>
      </c>
      <c r="G17" s="39">
        <v>1</v>
      </c>
      <c r="H17" s="28" t="s">
        <v>388</v>
      </c>
      <c r="I17" s="39" t="s">
        <v>428</v>
      </c>
      <c r="J17" s="28" t="s">
        <v>390</v>
      </c>
      <c r="K17" s="28" t="s">
        <v>391</v>
      </c>
      <c r="L17" s="39" t="s">
        <v>439</v>
      </c>
      <c r="M17" s="105" t="s">
        <v>393</v>
      </c>
      <c r="N17" s="28" t="s">
        <v>394</v>
      </c>
      <c r="O17" s="28" t="s">
        <v>394</v>
      </c>
      <c r="P17" s="106" t="s">
        <v>395</v>
      </c>
      <c r="Q17" s="107" t="s">
        <v>396</v>
      </c>
      <c r="R17" s="107" t="s">
        <v>396</v>
      </c>
      <c r="S17" s="108" t="s">
        <v>397</v>
      </c>
      <c r="T17" s="28"/>
    </row>
  </sheetData>
  <mergeCells count="2">
    <mergeCell ref="A2:A5"/>
    <mergeCell ref="B2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paiement</vt:lpstr>
      <vt:lpstr>suivi formations continues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BOUAALLOUCHA Omar</dc:creator>
  <cp:lastModifiedBy>BOUAALLOUCHA Omar</cp:lastModifiedBy>
  <dcterms:created xsi:type="dcterms:W3CDTF">2026-07-15T15:42:20Z</dcterms:created>
  <dcterms:modified xsi:type="dcterms:W3CDTF">2026-07-15T20:03:52Z</dcterms:modified>
</cp:coreProperties>
</file>